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O:\02. Тамань\002. Проекты\08. Ведутся СМР_ПРН\16. Минеральные удобрения ГК-15, ГК-18 АБ\Исполнительная документация\"/>
    </mc:Choice>
  </mc:AlternateContent>
  <xr:revisionPtr revIDLastSave="0" documentId="8_{DC60E3D5-8FA8-4A67-87DA-E440C5741B66}" xr6:coauthVersionLast="47" xr6:coauthVersionMax="47" xr10:uidLastSave="{00000000-0000-0000-0000-000000000000}"/>
  <bookViews>
    <workbookView xWindow="59235" yWindow="150" windowWidth="21060" windowHeight="19185" tabRatio="438" firstSheet="1" activeTab="1" xr2:uid="{00000000-000D-0000-FFFF-FFFF00000000}"/>
  </bookViews>
  <sheets>
    <sheet name="Cognos_Office_Connection_Cache" sheetId="1" state="hidden" r:id="rId1"/>
    <sheet name="Лист1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" hidden="1">#REF!</definedName>
    <definedName name="____" hidden="1">{"IAS Only",#N/A,FALSE,"NNGT1";"IAS Only",#N/A,FALSE,"NNT1";"IAS Only",#N/A,FALSE,"SNT1";"IAS Only",#N/A,FALSE,"BNT1"}</definedName>
    <definedName name="_____dsjhiashgias" hidden="1">'[1]на 1 тут'!#REF!</definedName>
    <definedName name="___xlfn.BAHTTEXT" hidden="1">#NAME?</definedName>
    <definedName name="__123" hidden="1">'[1]на 1 тут'!#REF!</definedName>
    <definedName name="__123Graph_A" hidden="1">#N/A</definedName>
    <definedName name="__123Graph_AGraph1" hidden="1">#N/A</definedName>
    <definedName name="__123Graph_AGraph2" hidden="1">#N/A</definedName>
    <definedName name="__123Graph_AGraph3" hidden="1">#N/A</definedName>
    <definedName name="__123Graph_AGraph4" hidden="1">#N/A</definedName>
    <definedName name="__123Graph_B" hidden="1">'[2]Finansal tamamlanma Eğrisi'!$E$32:$P$32</definedName>
    <definedName name="__123Graph_BChart" hidden="1">#REF!</definedName>
    <definedName name="__123Graph_BGRAPH1" hidden="1">'[1]на 1 тут'!#REF!</definedName>
    <definedName name="__123Graph_BGRAPH2" hidden="1">'[1]на 1 тут'!#REF!</definedName>
    <definedName name="__123Graph_C" hidden="1">'[3] N Finansal Eğri'!#REF!</definedName>
    <definedName name="__123Graph_CGRAPH1" hidden="1">'[1]на 1 тут'!#REF!</definedName>
    <definedName name="__123Graph_CGRAPH2" hidden="1">'[1]на 1 тут'!#REF!</definedName>
    <definedName name="__123Graph_D" hidden="1">'[3] N Finansal Eğri'!#REF!</definedName>
    <definedName name="__123Graph_E" hidden="1">'[4]TABLO-3'!$B$8:$B$8</definedName>
    <definedName name="__123Graph_F" hidden="1">[5]ESCON!#REF!</definedName>
    <definedName name="__123Graph_LBL_AGRAPH1" hidden="1">'[1]на 1 тут'!#REF!</definedName>
    <definedName name="__123Graph_X" hidden="1">#N/A</definedName>
    <definedName name="__123Graph_XGraph1" hidden="1">#N/A</definedName>
    <definedName name="__123Graph_XGraph2" hidden="1">#N/A</definedName>
    <definedName name="__123Graph_XGraph3" hidden="1">#N/A</definedName>
    <definedName name="__123Graph_XGraph4" hidden="1">#N/A</definedName>
    <definedName name="__IntlFixup" hidden="1">TRUE</definedName>
    <definedName name="__xlfn.BAHTTEXT" hidden="1">#NAME?</definedName>
    <definedName name="_1__123Graph_AChart_1A" hidden="1">#REF!</definedName>
    <definedName name="_123" hidden="1">#REF!</definedName>
    <definedName name="_12345" hidden="1">'[1]на 1 тут'!#REF!</definedName>
    <definedName name="_123Graph_BGRAPH2" hidden="1">'[1]на 1 тут'!#REF!</definedName>
    <definedName name="_123Graph_XGraph4" hidden="1">#N/A</definedName>
    <definedName name="_13__123Graph_BCHART_1" hidden="1">'[2]Finansal tamamlanma Eğrisi'!#REF!</definedName>
    <definedName name="_18__123Graph_LBL_ACHART_1" hidden="1">'[2]Finansal tamamlanma Eğrisi'!$E$43:$P$43</definedName>
    <definedName name="_2__123Graph_BChart_1A" hidden="1">#REF!</definedName>
    <definedName name="_23__123Graph_XCHART_1" hidden="1">'[2]Finansal tamamlanma Eğrisi'!$E$5:$P$5</definedName>
    <definedName name="_3__123Graph_BCHART_1" hidden="1">'[6]Finansal tamamlanma Eğrisi'!#REF!</definedName>
    <definedName name="_4S" hidden="1">#REF!</definedName>
    <definedName name="_5__123Graph_ACHART_1" hidden="1">'[2]Finansal tamamlanma Eğrisi'!$E$43:$P$43</definedName>
    <definedName name="_5_0_S" hidden="1">#REF!</definedName>
    <definedName name="_aaa3" hidden="1">'[2]Finansal tamamlanma Eğrisi'!#REF!</definedName>
    <definedName name="_aaa4" hidden="1">'[2]Finansal tamamlanma Eğrisi'!$E$43:$P$43</definedName>
    <definedName name="_aaa5" hidden="1">'[2]Finansal tamamlanma Eğrisi'!$E$5:$P$5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able1_In1" hidden="1">#REF!</definedName>
    <definedName name="_Table2_In1" hidden="1">#REF!</definedName>
    <definedName name="_Table2_Out" hidden="1">#REF!</definedName>
    <definedName name="_xlnm._FilterDatabase" hidden="1">#REF!</definedName>
    <definedName name="a" hidden="1">#REF!</definedName>
    <definedName name="A113548E" hidden="1">#REF!</definedName>
    <definedName name="a1b23" hidden="1">#REF!</definedName>
    <definedName name="aaa" hidden="1">'[2]Finansal tamamlanma Eğrisi'!$E$43:$P$43</definedName>
    <definedName name="aaaaaaaaa" hidden="1">#REF!</definedName>
    <definedName name="aaaaaaaaaa" hidden="1">#REF!</definedName>
    <definedName name="AccessDatabase" hidden="1">"C:\My Documents\vlad\Var_2\can270398v2t05.mdb"</definedName>
    <definedName name="adafs" hidden="1">#REF!</definedName>
    <definedName name="adfaf" hidden="1">#REF!</definedName>
    <definedName name="anscount" hidden="1">2</definedName>
    <definedName name="AS2DocOpenMode" hidden="1">"AS2DocumentEdit"</definedName>
    <definedName name="b" hidden="1">#REF!</definedName>
    <definedName name="BERK" hidden="1">#REF!</definedName>
    <definedName name="cgn" hidden="1">#REF!</definedName>
    <definedName name="dddd" hidden="1">#REF!</definedName>
    <definedName name="dddddddd" hidden="1">#REF!</definedName>
    <definedName name="dddddddddd" hidden="1">#REF!</definedName>
    <definedName name="deaweqw" hidden="1">#REF!</definedName>
    <definedName name="df" hidden="1">#REF!</definedName>
    <definedName name="emin" hidden="1">#REF!</definedName>
    <definedName name="ers" hidden="1">#REF!</definedName>
    <definedName name="ffff" hidden="1">#REF!</definedName>
    <definedName name="fill_" hidden="1">#REF!</definedName>
    <definedName name="GG" hidden="1">'[2]Finansal tamamlanma Eğrisi'!$E$29:$P$29</definedName>
    <definedName name="ghkjghku" hidden="1">'[1]на 1 тут'!#REF!</definedName>
    <definedName name="gy3654yhu76ik" hidden="1">'[1]на 1 тут'!#REF!</definedName>
    <definedName name="HTML_CodePage" hidden="1">1252</definedName>
    <definedName name="HTML_Control" hidden="1">{"'Sheet1'!$A$1:$J$350"}</definedName>
    <definedName name="HTML_Description" hidden="1">""</definedName>
    <definedName name="HTML_Email" hidden="1">""</definedName>
    <definedName name="HTML_Header" hidden="1">"Sheet1"</definedName>
    <definedName name="HTML_LastUpdate" hidden="1">"7/18/99"</definedName>
    <definedName name="HTML_LineAfter" hidden="1">FALSE</definedName>
    <definedName name="HTML_LineBefore" hidden="1">FALSE</definedName>
    <definedName name="HTML_Name" hidden="1">"C.S.Indulkar"</definedName>
    <definedName name="HTML_OBDlg2" hidden="1">TRUE</definedName>
    <definedName name="HTML_OBDlg4" hidden="1">TRUE</definedName>
    <definedName name="HTML_OS" hidden="1">0</definedName>
    <definedName name="HTML_PathFile" hidden="1">"C:\My Documents\MyHTML5.htm"</definedName>
    <definedName name="HTML_Title" hidden="1">"Chapter5"</definedName>
    <definedName name="ID" localSheetId="0" hidden="1">"74817a1d-8450-4d1c-bccf-220a10e12117"</definedName>
    <definedName name="jfdn" hidden="1">#REF!</definedName>
    <definedName name="jkk" hidden="1">{"Equity Only",#N/A,FALSE,"NNGT1";"Equity Only",#N/A,FALSE,"NNT1";"Equity Only",#N/A,FALSE,"SNT1";"Equity Only",#N/A,FALSE,"BNT1";"Equity Only",#N/A,FALSE,"PNT1"}</definedName>
    <definedName name="limcount" hidden="1">3</definedName>
    <definedName name="MALZEME2" hidden="1">#REF!</definedName>
    <definedName name="mji" hidden="1">'[1]на 1 тут'!#REF!</definedName>
    <definedName name="nakits" hidden="1">'[7]Finansal tamamlanma Eğrisi'!#REF!</definedName>
    <definedName name="NAME" hidden="1">#REF!</definedName>
    <definedName name="nNnnn" hidden="1">{#N/A,#N/A,TRUE,"Лист1";#N/A,#N/A,TRUE,"Лист2";#N/A,#N/A,TRUE,"Лист3"}</definedName>
    <definedName name="nnnnnnnn" hidden="1">'[7]Finansal tamamlanma Eğrisi'!#REF!</definedName>
    <definedName name="Pal_Workbook_GUID" hidden="1">"Y7ZRW4JRSDMU56U75X7NWE1V"</definedName>
    <definedName name="PLreclassed" hidden="1">{"Equity Only",#N/A,FALSE,"NNGT1";"Equity Only",#N/A,FALSE,"NNT1";"Equity Only",#N/A,FALSE,"SNT1";"Equity Only",#N/A,FALSE,"BNT1";"Equity Only",#N/A,FALSE,"PNT1"}</definedName>
    <definedName name="prog" hidden="1">[8]x!$A$5:$A$102</definedName>
    <definedName name="q" hidden="1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" hidden="1">#REF!</definedName>
    <definedName name="sdr" hidden="1">[9]Кедровский!#REF!</definedName>
    <definedName name="sencount" hidden="1">1</definedName>
    <definedName name="solver_adj" hidden="1">[10]Sheet1!#REF!,[10]Sheet1!#REF!</definedName>
    <definedName name="solver_lin" hidden="1">0</definedName>
    <definedName name="solver_num" hidden="1">0</definedName>
    <definedName name="solver_rel10" hidden="1">2</definedName>
    <definedName name="solver_rel11" hidden="1">2</definedName>
    <definedName name="solver_rel5" hidden="1">2</definedName>
    <definedName name="solver_rel6" hidden="1">2</definedName>
    <definedName name="solver_rel7" hidden="1">2</definedName>
    <definedName name="solver_rel8" hidden="1">2</definedName>
    <definedName name="solver_rel9" hidden="1">2</definedName>
    <definedName name="solver_rhs10" hidden="1">315430</definedName>
    <definedName name="solver_rhs11" hidden="1">284920</definedName>
    <definedName name="solver_tmp" hidden="1">[10]Sheet1!#REF!,[10]Sheet1!#REF!</definedName>
    <definedName name="solver_typ" hidden="1">3</definedName>
    <definedName name="solver_val" hidden="1">22000000000</definedName>
    <definedName name="sr" hidden="1">#REF!</definedName>
    <definedName name="SS" hidden="1">#REF!</definedName>
    <definedName name="ssfsad\" hidden="1">#REF!</definedName>
    <definedName name="TextRefCopyRangeCount" hidden="1">33</definedName>
    <definedName name="TM1REBUILDOPTION">1</definedName>
    <definedName name="u" hidden="1">'[3] N Finansal Eğri'!#REF!</definedName>
    <definedName name="vgaga" hidden="1">#REF!</definedName>
    <definedName name="vur" hidden="1">#REF!</definedName>
    <definedName name="vural" hidden="1">#REF!</definedName>
    <definedName name="weqwrq" hidden="1">#REF!</definedName>
    <definedName name="wqweqw" hidden="1">#REF!</definedName>
    <definedName name="wrn." hidden="1">{#N/A,#N/A,TRUE,"SummaryFS (Cons to Disposal)";"Summary",#N/A,TRUE,"Cons 97 (NGDU cons to disposal)";"Summary",#N/A,TRUE,"Cons 96 (NGDU cons)";#N/A,#N/A,TRUE,"SummaryFS (ex-NGDU)";"Summary",#N/A,TRUE,"Cons 97 (ex-NGDU)";"Summary",#N/A,TRUE,"Cons 96 (ex-NGDU)"}</definedName>
    <definedName name="wrn.1." hidden="1">{"konoplin - Личное представление",#N/A,TRUE,"ФинПлан_1кв";"konoplin - Личное представление",#N/A,TRUE,"ФинПлан_2кв"}</definedName>
    <definedName name="wrn.Aging._.and._.Trend._.Analysis." hidden="1">{#N/A,#N/A,FALSE,"Aging Summary";#N/A,#N/A,FALSE,"Ratio Analysis";#N/A,#N/A,FALSE,"Test 120 Day Accts";#N/A,#N/A,FALSE,"Tickmarks"}</definedName>
    <definedName name="wrn.cabcalc." hidden="1">{#N/A,#N/A,FALSE,"CABCALC";#N/A,#N/A,FALSE,"FAULTCALC"}</definedName>
    <definedName name="wrn.Equity._.Only." hidden="1">{"Equity Only",#N/A,FALSE,"NNGT1";"Equity Only",#N/A,FALSE,"NNT1";"Equity Only",#N/A,FALSE,"SNT1";"Equity Only",#N/A,FALSE,"BNT1";"Equity Only",#N/A,FALSE,"PNT1"}</definedName>
    <definedName name="wrn.Equity._.Only1." hidden="1">{"Equity Only",#N/A,FALSE,"NNGT1";"Equity Only",#N/A,FALSE,"NNT1";"Equity Only",#N/A,FALSE,"SNT1";"Equity Only",#N/A,FALSE,"BNT1";"Equity Only",#N/A,FALSE,"PNT1"}</definedName>
    <definedName name="wrn.IAS._.Only." hidden="1">{"IAS Only",#N/A,FALSE,"NNGT1";"IAS Only",#N/A,FALSE,"NNT1";"IAS Only",#N/A,FALSE,"SNT1";"IAS Only",#N/A,FALSE,"BNT1"}</definedName>
    <definedName name="wrn.IAS._.Only1." hidden="1">{"IAS Only",#N/A,FALSE,"NNGT1";"IAS Only",#N/A,FALSE,"NNT1";"IAS Only",#N/A,FALSE,"SNT1";"IAS Only",#N/A,FALSE,"BNT1"}</definedName>
    <definedName name="wrn.NNG._.Consolidation." hidden="1">{#N/A,#N/A,TRUE,"SummaryFS (Cons to Disposal)";"Summary",#N/A,TRUE,"Cons 97 (NGDU cons to disposal)";"Summary",#N/A,TRUE,"Cons 96 (NGDU cons)";#N/A,#N/A,TRUE,"SummaryFS (ex-NGDU)";"Summary",#N/A,TRUE,"Cons 97 (ex-NGDU)";"Summary",#N/A,TRUE,"Cons 96 (ex-NGDU)"}</definedName>
    <definedName name="wrn.REPORT1." hidden="1">{"PRINTME",#N/A,FALSE,"FINAL-10"}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Сравнение._.с._.отраслями." hidden="1">{#N/A,#N/A,TRUE,"Лист1";#N/A,#N/A,TRUE,"Лист2";#N/A,#N/A,TRUE,"Лист3"}</definedName>
    <definedName name="XREF_COLUMN_1" hidden="1">[11]breakdown!#REF!</definedName>
    <definedName name="XREF_COLUMN_2" hidden="1">[11]breakdown!#REF!</definedName>
    <definedName name="XRefActiveRow" hidden="1">#REF!</definedName>
    <definedName name="XRefColumnsCount" hidden="1">2</definedName>
    <definedName name="XRefCopy1" hidden="1">[11]breakdown!#REF!</definedName>
    <definedName name="XRefCopy1Row" hidden="1">#REF!</definedName>
    <definedName name="XRefCopy2" hidden="1">[11]breakdown!#REF!</definedName>
    <definedName name="XRefCopy3" hidden="1">[11]breakdown!#REF!</definedName>
    <definedName name="XRefCopy3Row" hidden="1">#REF!</definedName>
    <definedName name="XRefCopyRangeCount" hidden="1">3</definedName>
    <definedName name="XRefPaste1" hidden="1">[11]breakdown!#REF!</definedName>
    <definedName name="XRefPaste1Row" hidden="1">#REF!</definedName>
    <definedName name="XRefPaste2" hidden="1">[11]breakdown!#REF!</definedName>
    <definedName name="XRefPaste2Row" hidden="1">#REF!</definedName>
    <definedName name="XRefPasteRangeCount" hidden="1">2</definedName>
    <definedName name="yas" hidden="1">#REF!</definedName>
    <definedName name="yasin" hidden="1">#REF!</definedName>
    <definedName name="Z_270BB401_5236_11D4_BB54_0050044E0CFA_.wvu.PrintArea" hidden="1">#REF!</definedName>
    <definedName name="Z_270BB401_5236_11D4_BB54_0050044E0CFA_.wvu.PrintTitles" hidden="1">#REF!</definedName>
    <definedName name="Z_270BB401_5236_11D4_BB54_0050044E0CFA_.wvu.Rows" hidden="1">#REF!</definedName>
    <definedName name="Z_30FEE15E_D26F_11D4_A6F7_00508B6A7686_.wvu.FilterData" hidden="1">#N/A</definedName>
    <definedName name="Z_30FEE15E_D26F_11D4_A6F7_00508B6A7686_.wvu.PrintArea" hidden="1">#N/A</definedName>
    <definedName name="Z_30FEE15E_D26F_11D4_A6F7_00508B6A7686_.wvu.PrintTitles" hidden="1">#N/A</definedName>
    <definedName name="Z_30FEE15E_D26F_11D4_A6F7_00508B6A7686_.wvu.Rows" hidden="1">#N/A</definedName>
    <definedName name="Z_3F2D3702_5C5D_4EF2_A404_F2A88AB2D490_.wvu.Cols" hidden="1">'[12]COST-TZ'!#REF!,'[12]COST-TZ'!$B$1:$B$65536</definedName>
    <definedName name="Z_A0AC4B42_5259_11D4_B5FE_00C04FC949BF_.wvu.Cols" hidden="1">#REF!</definedName>
    <definedName name="Z_A0AC4B42_5259_11D4_B5FE_00C04FC949BF_.wvu.FilterData" hidden="1">#REF!</definedName>
    <definedName name="Z_A0AC4B42_5259_11D4_B5FE_00C04FC949BF_.wvu.PrintArea" hidden="1">#REF!</definedName>
    <definedName name="Z_A0AC4B42_5259_11D4_B5FE_00C04FC949BF_.wvu.PrintTitles" hidden="1">#REF!</definedName>
    <definedName name="Z_A0AC4B42_5259_11D4_B5FE_00C04FC949BF_.wvu.Rows" hidden="1">#REF!</definedName>
    <definedName name="аа12" hidden="1">#REF!</definedName>
    <definedName name="авс" hidden="1">'[1]на 1 тут'!#REF!</definedName>
    <definedName name="амааа" hidden="1">{#N/A,#N/A,TRUE,"Лист1";#N/A,#N/A,TRUE,"Лист2";#N/A,#N/A,TRUE,"Лист3"}</definedName>
    <definedName name="аоао" hidden="1">'[1]на 1 тут'!#REF!</definedName>
    <definedName name="Балимела" hidden="1">{"PRINTME",#N/A,FALSE,"FINAL-10"}</definedName>
    <definedName name="ваа" hidden="1">{"Equity Only",#N/A,FALSE,"NNGT1";"Equity Only",#N/A,FALSE,"NNT1";"Equity Only",#N/A,FALSE,"SNT1";"Equity Only",#N/A,FALSE,"BNT1";"Equity Only",#N/A,FALSE,"PNT1"}</definedName>
    <definedName name="ваавпапа" hidden="1">{#N/A,#N/A,TRUE,"Лист1";#N/A,#N/A,TRUE,"Лист2";#N/A,#N/A,TRUE,"Лист3"}</definedName>
    <definedName name="ввв" hidden="1">#REF!</definedName>
    <definedName name="вдв" hidden="1">#REF!</definedName>
    <definedName name="веввве" hidden="1">{#N/A,#N/A,TRUE,"Лист1";#N/A,#N/A,TRUE,"Лист2";#N/A,#N/A,TRUE,"Лист3"}</definedName>
    <definedName name="волфадлыопалфима" hidden="1">'[1]на 1 тут'!#REF!</definedName>
    <definedName name="врам" hidden="1">'[1]на 1 тут'!#REF!</definedName>
    <definedName name="всс" hidden="1">#REF!</definedName>
    <definedName name="вуув" hidden="1">{#N/A,#N/A,TRUE,"Лист1";#N/A,#N/A,TRUE,"Лист2";#N/A,#N/A,TRUE,"Лист3"}</definedName>
    <definedName name="выаывавы" hidden="1">{"Equity Only",#N/A,FALSE,"NNGT1";"Equity Only",#N/A,FALSE,"NNT1";"Equity Only",#N/A,FALSE,"SNT1";"Equity Only",#N/A,FALSE,"BNT1";"Equity Only",#N/A,FALSE,"PNT1"}</definedName>
    <definedName name="выввывы" hidden="1">#REF!</definedName>
    <definedName name="готовая" hidden="1">#REF!</definedName>
    <definedName name="грприрцфв00ав98" hidden="1">{#N/A,#N/A,TRUE,"Лист1";#N/A,#N/A,TRUE,"Лист2";#N/A,#N/A,TRUE,"Лист3"}</definedName>
    <definedName name="грфинцкавг98Х" hidden="1">{#N/A,#N/A,TRUE,"Лист1";#N/A,#N/A,TRUE,"Лист2";#N/A,#N/A,TRUE,"Лист3"}</definedName>
    <definedName name="двроом" hidden="1">[9]Кедровский!#REF!</definedName>
    <definedName name="дед" hidden="1">#REF!</definedName>
    <definedName name="джджждждждл" hidden="1">Scheduled_Payment+Extra_Payment</definedName>
    <definedName name="дждщш" hidden="1">'[1]на 1 тут'!#REF!</definedName>
    <definedName name="джфыджфывждывдлыф" hidden="1">{"Equity Only",#N/A,FALSE,"NNGT1";"Equity Only",#N/A,FALSE,"NNT1";"Equity Only",#N/A,FALSE,"SNT1";"Equity Only",#N/A,FALSE,"BNT1";"Equity Only",#N/A,FALSE,"PNT1"}</definedName>
    <definedName name="длва" hidden="1">{#N/A,#N/A,TRUE,"Лист1";#N/A,#N/A,TRUE,"Лист2";#N/A,#N/A,TRUE,"Лист3"}</definedName>
    <definedName name="длщш" hidden="1">[9]Кедровский!#REF!</definedName>
    <definedName name="Доб.кв." hidden="1">#N/A</definedName>
    <definedName name="еее" hidden="1">{#N/A,#N/A,TRUE,"Лист1";#N/A,#N/A,TRUE,"Лист2";#N/A,#N/A,TRUE,"Лист3"}</definedName>
    <definedName name="ееее" hidden="1">{#N/A,#N/A,TRUE,"Лист1";#N/A,#N/A,TRUE,"Лист2";#N/A,#N/A,TRUE,"Лист3"}</definedName>
    <definedName name="енекнен" hidden="1">{#N/A,#N/A,TRUE,"SummaryFS (Cons to Disposal)";"Summary",#N/A,TRUE,"Cons 97 (NGDU cons to disposal)";"Summary",#N/A,TRUE,"Cons 96 (NGDU cons)";#N/A,#N/A,TRUE,"SummaryFS (ex-NGDU)";"Summary",#N/A,TRUE,"Cons 97 (ex-NGDU)";"Summary",#N/A,TRUE,"Cons 96 (ex-NGDU)"}</definedName>
    <definedName name="енененег" hidden="1">{"Equity Only",#N/A,FALSE,"NNGT1";"Equity Only",#N/A,FALSE,"NNT1";"Equity Only",#N/A,FALSE,"SNT1";"Equity Only",#N/A,FALSE,"BNT1";"Equity Only",#N/A,FALSE,"PNT1"}</definedName>
    <definedName name="етмпшек" hidden="1">#REF!</definedName>
    <definedName name="еывке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ж" hidden="1">{#N/A,#N/A,TRUE,"Лист1";#N/A,#N/A,TRUE,"Лист2";#N/A,#N/A,TRUE,"Лист3"}</definedName>
    <definedName name="ждхз" hidden="1">'[1]на 1 тут'!#REF!</definedName>
    <definedName name="З" hidden="1">'[1]на 1 тут'!#REF!</definedName>
    <definedName name="ЗК_ТЭЦ_1">#REF!</definedName>
    <definedName name="ииии" hidden="1">[11]breakdown!#REF!</definedName>
    <definedName name="индцкавг98" hidden="1">{#N/A,#N/A,TRUE,"Лист1";#N/A,#N/A,TRUE,"Лист2";#N/A,#N/A,TRUE,"Лист3"}</definedName>
    <definedName name="иппппртит" hidden="1">{#N/A,#N/A,TRUE,"Лист1";#N/A,#N/A,TRUE,"Лист2";#N/A,#N/A,TRUE,"Лист3"}</definedName>
    <definedName name="ййй" hidden="1">#REF!</definedName>
    <definedName name="ййййй" hidden="1">#REF!</definedName>
    <definedName name="ййц" hidden="1">#REF!</definedName>
    <definedName name="йъжю" hidden="1">'[1]на 1 тут'!#REF!</definedName>
    <definedName name="јкнм" hidden="1">#REF!</definedName>
    <definedName name="К" hidden="1">[9]Кедровский!#REF!</definedName>
    <definedName name="кео" hidden="1">[9]Кедровский!#REF!</definedName>
    <definedName name="кеппппппппппп" hidden="1">{#N/A,#N/A,TRUE,"Лист1";#N/A,#N/A,TRUE,"Лист2";#N/A,#N/A,TRUE,"Лист3"}</definedName>
    <definedName name="кеукеукеук" hidden="1">{"Equity Only",#N/A,FALSE,"NNGT1";"Equity Only",#N/A,FALSE,"NNT1";"Equity Only",#N/A,FALSE,"SNT1";"Equity Only",#N/A,FALSE,"BNT1";"Equity Only",#N/A,FALSE,"PNT1"}</definedName>
    <definedName name="ккккккккккк" hidden="1">{#N/A,#N/A,TRUE,"Лист1";#N/A,#N/A,TRUE,"Лист2";#N/A,#N/A,TRUE,"Лист3"}</definedName>
    <definedName name="консол" hidden="1">'[1]на 1 тут'!#REF!</definedName>
    <definedName name="консолид" hidden="1">'[1]на 1 тут'!#REF!</definedName>
    <definedName name="кпрп" hidden="1">[9]Кедровский!#REF!</definedName>
    <definedName name="лшлолоо" hidden="1">'[1]на 1 тут'!#REF!</definedName>
    <definedName name="материалы" hidden="1">#REF!</definedName>
    <definedName name="маша" hidden="1">[9]Кедровский!#REF!</definedName>
    <definedName name="мгк" hidden="1">#REF!</definedName>
    <definedName name="мисмимим" hidden="1">{"IAS Only",#N/A,FALSE,"NNGT1";"IAS Only",#N/A,FALSE,"NNT1";"IAS Only",#N/A,FALSE,"SNT1";"IAS Only",#N/A,FALSE,"BNT1"}</definedName>
    <definedName name="момано" hidden="1">#REF!</definedName>
    <definedName name="мор" hidden="1">#REF!</definedName>
    <definedName name="мсоор" hidden="1">#REF!</definedName>
    <definedName name="МЦ_КД">[13]свод!#REF!</definedName>
    <definedName name="нгл" hidden="1">[9]Кедровский!#REF!</definedName>
    <definedName name="НОВАЯ" hidden="1">'[1]на 1 тут'!#REF!</definedName>
    <definedName name="онке" hidden="1">#REF!</definedName>
    <definedName name="ОООООО" hidden="1">{"IAS Only",#N/A,FALSE,"NNGT1";"IAS Only",#N/A,FALSE,"NNT1";"IAS Only",#N/A,FALSE,"SNT1";"IAS Only",#N/A,FALSE,"BNT1"}</definedName>
    <definedName name="орорл" hidden="1">[9]Кедровский!#REF!</definedName>
    <definedName name="осввс" hidden="1">#REF!</definedName>
    <definedName name="П3.2" hidden="1">{#N/A,#N/A,TRUE,"Лист1";#N/A,#N/A,TRUE,"Лист2";#N/A,#N/A,TRUE,"Лист3"}</definedName>
    <definedName name="папа" hidden="1">{"konoplin - Личное представление",#N/A,TRUE,"ФинПлан_1кв";"konoplin - Личное представление",#N/A,TRUE,"ФинПлан_2кв"}</definedName>
    <definedName name="парпарпар" hidden="1">'[1]на 1 тут'!#REF!</definedName>
    <definedName name="пворп" hidden="1">#REF!</definedName>
    <definedName name="под" hidden="1">[9]Кедровский!#REF!</definedName>
    <definedName name="подраз" hidden="1">'[1]на 1 тут'!#REF!</definedName>
    <definedName name="прибыль3" hidden="1">{#N/A,#N/A,TRUE,"Лист1";#N/A,#N/A,TRUE,"Лист2";#N/A,#N/A,TRUE,"Лист3"}</definedName>
    <definedName name="Проверка" hidden="1">#REF!</definedName>
    <definedName name="прпр" hidden="1">#REF!</definedName>
    <definedName name="Р_ТЭЦ_1">#REF!</definedName>
    <definedName name="рис1" hidden="1">{#N/A,#N/A,TRUE,"Лист1";#N/A,#N/A,TRUE,"Лист2";#N/A,#N/A,TRUE,"Лист3"}</definedName>
    <definedName name="ролл" hidden="1">{#N/A,#N/A,TRUE,"Лист1";#N/A,#N/A,TRUE,"Лист2";#N/A,#N/A,TRUE,"Лист3"}</definedName>
    <definedName name="рррр" hidden="1">#REF!</definedName>
    <definedName name="ррррррррррррррррррррррррррррррррр" hidden="1">[9]Кедровский!#REF!</definedName>
    <definedName name="саоа" hidden="1">'[1]на 1 тут'!#REF!</definedName>
    <definedName name="свс" hidden="1">#REF!</definedName>
    <definedName name="тдл" hidden="1">#REF!</definedName>
    <definedName name="тп" hidden="1">{#N/A,#N/A,TRUE,"Лист1";#N/A,#N/A,TRUE,"Лист2";#N/A,#N/A,TRUE,"Лист3"}</definedName>
    <definedName name="уац" hidden="1">#REF!</definedName>
    <definedName name="укеееукеееееееееееееее" hidden="1">{#N/A,#N/A,TRUE,"Лист1";#N/A,#N/A,TRUE,"Лист2";#N/A,#N/A,TRUE,"Лист3"}</definedName>
    <definedName name="укеукеуеуе" hidden="1">{#N/A,#N/A,TRUE,"Лист1";#N/A,#N/A,TRUE,"Лист2";#N/A,#N/A,TRUE,"Лист3"}</definedName>
    <definedName name="управл" hidden="1">{#N/A,#N/A,TRUE,"Лист1";#N/A,#N/A,TRUE,"Лист2";#N/A,#N/A,TRUE,"Лист3"}</definedName>
    <definedName name="усцсцс" hidden="1">#REF!</definedName>
    <definedName name="Утил.отх." hidden="1">#REF!</definedName>
    <definedName name="Утил.отходов" hidden="1">'[1]на 1 тут'!#REF!</definedName>
    <definedName name="ф" hidden="1">{"konoplin - Личное представление",#N/A,TRUE,"ФинПлан_1кв";"konoplin - Личное представление",#N/A,TRUE,"ФинПлан_2кв"}</definedName>
    <definedName name="ФОК_2">#REF!</definedName>
    <definedName name="цукц" hidden="1">[9]Кедровский!#REF!</definedName>
    <definedName name="шкешукшегукшщгешщук" hidden="1">{#N/A,#N/A,FALSE,"Aging Summary";#N/A,#N/A,FALSE,"Ratio Analysis";#N/A,#N/A,FALSE,"Test 120 Day Accts";#N/A,#N/A,FALSE,"Tickmarks"}</definedName>
    <definedName name="щгъяб" hidden="1">'[1]на 1 тут'!#REF!</definedName>
    <definedName name="ывавап" hidden="1">{#N/A,#N/A,TRUE,"Лист1";#N/A,#N/A,TRUE,"Лист2";#N/A,#N/A,TRUE,"Лист3"}</definedName>
    <definedName name="ывывы" hidden="1">{#N/A,#N/A,TRUE,"Лист1";#N/A,#N/A,TRUE,"Лист2";#N/A,#N/A,TRUE,"Лист3"}</definedName>
    <definedName name="ыуаы" hidden="1">{#N/A,#N/A,TRUE,"Лист1";#N/A,#N/A,TRUE,"Лист2";#N/A,#N/A,TRUE,"Лист3"}</definedName>
    <definedName name="ыуццув" hidden="1">#REF!</definedName>
    <definedName name="ь" hidden="1">'[1]на 1 тут'!#REF!</definedName>
    <definedName name="ьорл" hidden="1">'[1]на 1 тут'!#REF!</definedName>
    <definedName name="ьюжэз" hidden="1">'[1]на 1 тут'!#REF!</definedName>
    <definedName name="эбиозж" hidden="1">#REF!</definedName>
    <definedName name="эжх" hidden="1">'[1]на 1 тут'!#REF!</definedName>
    <definedName name="эщджь" hidden="1">[9]Кедровский!#REF!</definedName>
    <definedName name="ээээээээ" hidden="1">{"IAS Only",#N/A,FALSE,"NNGT1";"IAS Only",#N/A,FALSE,"NNT1";"IAS Only",#N/A,FALSE,"SNT1";"IAS Only",#N/A,FALSE,"BNT1"}</definedName>
    <definedName name="яЯяяя" hidden="1">{#N/A,#N/A,TRUE,"Лист1";#N/A,#N/A,TRUE,"Лист2";#N/A,#N/A,TRUE,"Лист3"}</definedName>
  </definedNames>
  <calcPr calcId="191029" fullPrecision="0"/>
</workbook>
</file>

<file path=xl/calcChain.xml><?xml version="1.0" encoding="utf-8"?>
<calcChain xmlns="http://schemas.openxmlformats.org/spreadsheetml/2006/main">
  <c r="I6" i="3" l="1"/>
  <c r="I105" i="3"/>
  <c r="I104" i="3"/>
  <c r="I100" i="3"/>
  <c r="I99" i="3"/>
  <c r="I91" i="3"/>
  <c r="I69" i="3"/>
  <c r="I61" i="3"/>
  <c r="I60" i="3"/>
  <c r="I59" i="3"/>
  <c r="I58" i="3"/>
  <c r="I57" i="3"/>
  <c r="I56" i="3"/>
  <c r="I55" i="3"/>
  <c r="I53" i="3"/>
  <c r="I52" i="3"/>
  <c r="I51" i="3"/>
  <c r="I48" i="3"/>
  <c r="I47" i="3"/>
  <c r="I46" i="3"/>
  <c r="I45" i="3"/>
  <c r="I44" i="3"/>
  <c r="I49" i="3"/>
  <c r="I40" i="3"/>
  <c r="I39" i="3"/>
  <c r="I38" i="3"/>
  <c r="I37" i="3"/>
  <c r="I36" i="3"/>
  <c r="I35" i="3"/>
  <c r="I34" i="3"/>
  <c r="I33" i="3"/>
  <c r="I42" i="3" s="1"/>
  <c r="I41" i="3"/>
  <c r="I31" i="3"/>
  <c r="I30" i="3"/>
  <c r="I28" i="3"/>
  <c r="I27" i="3"/>
  <c r="I26" i="3"/>
  <c r="I25" i="3"/>
  <c r="I24" i="3"/>
  <c r="I23" i="3"/>
  <c r="I22" i="3"/>
  <c r="I21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5" i="3"/>
  <c r="I50" i="3" l="1"/>
</calcChain>
</file>

<file path=xl/sharedStrings.xml><?xml version="1.0" encoding="utf-8"?>
<sst xmlns="http://schemas.openxmlformats.org/spreadsheetml/2006/main" count="1071" uniqueCount="228">
  <si>
    <t>№ пп</t>
  </si>
  <si>
    <t>Шифр объекта</t>
  </si>
  <si>
    <t>Наименование объекта</t>
  </si>
  <si>
    <t>Шифр РД/ПД</t>
  </si>
  <si>
    <t>Вид затрат (смета)</t>
  </si>
  <si>
    <t>Ответственность за поставку</t>
  </si>
  <si>
    <t>Наименование работ и затрат</t>
  </si>
  <si>
    <t>Ед. изм.</t>
  </si>
  <si>
    <t>Кол-во*</t>
  </si>
  <si>
    <t>номенклатурный номер</t>
  </si>
  <si>
    <t>Наименование ТМЦ</t>
  </si>
  <si>
    <t>С2.9.3.2</t>
  </si>
  <si>
    <t>Конвейерная галерея минеральных удобрений ГК-15</t>
  </si>
  <si>
    <t>ПС-70/2-10-С2.9.3.2-АР1 изм.2</t>
  </si>
  <si>
    <t>СМР</t>
  </si>
  <si>
    <t>Ограждающие конструкции перекрытий и покрытий из профилированного листа</t>
  </si>
  <si>
    <t>м2</t>
  </si>
  <si>
    <t>МАТ</t>
  </si>
  <si>
    <t>Заказчик</t>
  </si>
  <si>
    <t>Лист профилированный НС75-750-0,8 двусторонее покрытие ПВДФ RAL: 7047/9003 L 5400 мм</t>
  </si>
  <si>
    <t>шт</t>
  </si>
  <si>
    <t>ИНТЕРСТРОЙ</t>
  </si>
  <si>
    <t>Шуруп самосверлящий Hilti S-MD55Z 5,5x40</t>
  </si>
  <si>
    <t>ис-45007</t>
  </si>
  <si>
    <t>Шуруп для профилированных листов HE5-R-Z19 5.5 х38 (10013160/010125/5000124,Тайвань (Китай)</t>
  </si>
  <si>
    <t>Шуруп самосверлящий Hilti S-MD53Z 4,8х19</t>
  </si>
  <si>
    <t>ис-45006</t>
  </si>
  <si>
    <t>Шуруп для профилированных листов HE4-R-Z16 5.5 х25 (07206/040924/0005986.Тайвань (Китай)</t>
  </si>
  <si>
    <t>Уплотнитель профильный (нижний), ТУ 22.21.41-001-36690888-2019</t>
  </si>
  <si>
    <t>м</t>
  </si>
  <si>
    <t>ис-45566</t>
  </si>
  <si>
    <t>Уплотнитель Н-75 ,И,нижний 0,75 м (50 шт)</t>
  </si>
  <si>
    <t>Уплотнитель профильный (верхний), ТУ 22.21.41-001-36690888-2019</t>
  </si>
  <si>
    <t>ис-45565</t>
  </si>
  <si>
    <t>Уплотнитель Н-75 ,И,верхний 0,75 м (50 шт)</t>
  </si>
  <si>
    <t>Фасонный элемент ФЭ-1.1 ГОСТ 14918-80</t>
  </si>
  <si>
    <t>ис-47092</t>
  </si>
  <si>
    <t>Фасонный элемент ФЭ-1,1 RAL9006 (Zn275) PVDF 0,7х340х2500-28 шт (С2.9.3.2)</t>
  </si>
  <si>
    <t>п.м</t>
  </si>
  <si>
    <t>Фасонный элемент ФЭ-1.2 ГОСТ 14918-80</t>
  </si>
  <si>
    <t>ис-47093</t>
  </si>
  <si>
    <t>Фасонный элемент ФЭ-1,2 RAL9006 (Zn275) PVDF 0,7х170х2500-28 шт (С2.9.3.2)</t>
  </si>
  <si>
    <t>Фасонный элемент ФЭ-2.1 ГОСТ 14918-80</t>
  </si>
  <si>
    <t>ис-47094</t>
  </si>
  <si>
    <t>Фасонный элемент ФЭ-2,1 RAL9006 (Zn275) PVDF 0,7х135х800-94 шт (С2.9.3.2)</t>
  </si>
  <si>
    <t>Фасонный элемент ФЭ-2.2 ГОСТ 14918-80</t>
  </si>
  <si>
    <t>ис-47097</t>
  </si>
  <si>
    <t>Фасонный элемент ФЭ-2.2 RAL9006 (Zn275) PVDF 0,7х560х2500-28шт (С2.9.3.2)</t>
  </si>
  <si>
    <t>Фасонный элемент ФЭ-3 ГОСТ 14918-80</t>
  </si>
  <si>
    <t>ис-47098</t>
  </si>
  <si>
    <t>Фасонный элемент ФЭ-3 RAL9006 (Zn275) PVDF 0,7х640х2500-3шт (С2.9.3.2)</t>
  </si>
  <si>
    <t>Фасонный элемент ФЭ-10 ГОСТ 14918-80</t>
  </si>
  <si>
    <t>ис-47095</t>
  </si>
  <si>
    <t>Фасонный элемент ФЭ-10 RAL9006 (Zn275) PVDF 0,7х460х2500-4 шт (С2.9.3.2)</t>
  </si>
  <si>
    <t>Шуруп самосверлящий Hilti S-MD55Z 5,5x40 (для ФЭ)</t>
  </si>
  <si>
    <t>Шуруп самосверлящий Hilti S-MD53Z 4,8х19 (для ФЭ)</t>
  </si>
  <si>
    <t>Заклепка стальная D 4,8 мм L 10 мм вытяжная (для ФЭ)</t>
  </si>
  <si>
    <t>Желоб водосточный D185x3000 (RAL 7047), ТУ 5285-002-37144780-2012</t>
  </si>
  <si>
    <t>ис-45741</t>
  </si>
  <si>
    <t>Желоб водосточный,3000 d185 (RAL 7047)</t>
  </si>
  <si>
    <t>Соединитель желоба D185 (RAL 7047), ТУ 5285-002-37144780-2012</t>
  </si>
  <si>
    <t>Заглушка желоба, ТУ 5285-002-37144780-2012</t>
  </si>
  <si>
    <t>ис-45742</t>
  </si>
  <si>
    <t>Заглушка для водосточного желоба, d185 (RAL 7047).</t>
  </si>
  <si>
    <t>Держатели желоба, ТУ 5285-002-37144780-2012</t>
  </si>
  <si>
    <t>ис-45739</t>
  </si>
  <si>
    <t>Крепление желоба ,350.d185 (RAL 7047)</t>
  </si>
  <si>
    <t>Воронка выпускная D185/150 (RAL 7047), ТУ 5285-002-37144780-2012</t>
  </si>
  <si>
    <t>ис-45738</t>
  </si>
  <si>
    <t>Воронка желоба ,верх.d185,нижн.d150 (RAL 7047)</t>
  </si>
  <si>
    <t>Труба водосточная D150 (RAL 7047), ТУ 5285-002-37144780-2012</t>
  </si>
  <si>
    <t>ис-45744</t>
  </si>
  <si>
    <t>Труба водосточная,3000, d150  (RAL 7047).</t>
  </si>
  <si>
    <t>Держатели трубы водосточной</t>
  </si>
  <si>
    <t>ис-45740</t>
  </si>
  <si>
    <t>Крепление трубы (с лапками) d150 (RAL 7047)</t>
  </si>
  <si>
    <t xml:space="preserve">Колено трубы D150 (RAL 7047) </t>
  </si>
  <si>
    <t>ис-45743</t>
  </si>
  <si>
    <t>Колено трубы 135 градусов, d150  (RAL 7047).</t>
  </si>
  <si>
    <t>Гидроизоляционная самоклеящаяся битумно-полимерная лента NICOBAND, СТО 72746455-3.1.6-2014, 150х10м</t>
  </si>
  <si>
    <t>ис-44490</t>
  </si>
  <si>
    <t>Лента самоклеящаяся герметизирующая NICOBAND DUO,двухсторонний,длина 10 м,ширина 10 см</t>
  </si>
  <si>
    <t>Герметик Сазиласт 13, ТУ 2513-118-32478306-201, 600 мл</t>
  </si>
  <si>
    <t>ис-47033</t>
  </si>
  <si>
    <t>Герметик полиуретановый Сазиласт 13 серый 600 мл</t>
  </si>
  <si>
    <t>Устройство ограждений на кровле</t>
  </si>
  <si>
    <t>Ограждение кровельное Roof Systems PRESTIGE H-600 45x25 (овал) 2 трубы EURO L=3м, RAL 9006, ТУ 5262-001-84344822-2019</t>
  </si>
  <si>
    <t>ис-45776</t>
  </si>
  <si>
    <t>Ограждение кровельное  Snegos  "Эконом плюс-600" ОЦ ЭБК-КО-300/600-3000 с плоскоовальной трубой. RAL 9006</t>
  </si>
  <si>
    <t>компл</t>
  </si>
  <si>
    <t>Планка-переходник для профнастила Н75, ТУ 5262-001-84344822-2019</t>
  </si>
  <si>
    <t>ис-45777</t>
  </si>
  <si>
    <t>Адаптер для кровельного ограждения для профнастила Н75 RAL 9006</t>
  </si>
  <si>
    <t>Облицовка стен монолитным поликарбонатом</t>
  </si>
  <si>
    <t>Поликарбонат ПЛМПКГ 1,3-6900-1050-БЦ-Пр-Глн, ТУ 2291-002-73658121-2009</t>
  </si>
  <si>
    <t>Поликарбонат ПЛМПКГ 1,3-4400-1050-СИН-Пр-Глн, ТУ 2291-002-73658121-2009</t>
  </si>
  <si>
    <t>Поликарбонат ПЛМПКГ 1,3-4400-1050-БЦ-Пр-Глн, ТУ 2291-002-73658121-2009</t>
  </si>
  <si>
    <t>Поликарбонат ПЛМПКГ 1,3-4400-1050-ОРН-Пр-Глн, ТУ 2291-002-73658121-2009</t>
  </si>
  <si>
    <t>Поликарбонат ПЛМПКГ 1,3-8200-1050-БЦ-Пр-Глн, ТУ 2291-002-73658121-2009</t>
  </si>
  <si>
    <t>Поликарбонат ПЛМПКГ 1,3-5700-1050-СИН-Пр-Глн, ТУ 2291-002-73658121-2009</t>
  </si>
  <si>
    <t>Поликарбонат ПЛМПКГ 1,3-5700-1050-БЦ-Пр-Глн, ТУ 2291-002-73658121-2009</t>
  </si>
  <si>
    <t>Поликарбонат ПЛМПКГ 1,3-5700-1050-ОРН-Пр-Глн, ТУ 2291-002-73658121-2009</t>
  </si>
  <si>
    <t xml:space="preserve">Ограждающие конструкции стен из профилированного листа </t>
  </si>
  <si>
    <t>Лист профилированный НС44-1000-0,8 двусторонее покрытие ПВДФ RAL5005/RAL9003 L 6900 мм</t>
  </si>
  <si>
    <t>Лист профилированный НС44-1000-0,8 двусторонее покрытие ПВДФ RAL: 5005/9003 L 4400 мм</t>
  </si>
  <si>
    <t>Лист профилированный НС44-1000-0,8 двусторонее покрытие ПВДФ RAL5005/RAL9003 L 8200 мм</t>
  </si>
  <si>
    <t>Лист профилированный НС44-1000-0,8 двусторонее покрытие ПВДФ RAL5005/RAL9003 L 5700 мм</t>
  </si>
  <si>
    <t>Лист профилированный НС44-1000-0,8 двусторонее покрытие ПВДФ RAL5005/RAL9003 L 2800 мм</t>
  </si>
  <si>
    <t>Фасонный элемент ФЭ-5 ГОСТ 14918-80</t>
  </si>
  <si>
    <t>ис-47100</t>
  </si>
  <si>
    <t>Фасонный элемент ФЭ-5 RAL9006 (Zn275) PVDF 0,7х710х2500-3шт (С2.9.3.2)</t>
  </si>
  <si>
    <t>Фасонный элемент ФЭ-8 ГОСТ 14918-80</t>
  </si>
  <si>
    <t>ис-47105</t>
  </si>
  <si>
    <t>Фасонный элемент ФЭ-8 RAL9006 (Zn275) PVDF 0,7х260х2500-134шт (С2.9.3.2)</t>
  </si>
  <si>
    <t>Устройство парапетов, фасадных элементов, ендовых из гладкого листа</t>
  </si>
  <si>
    <t>Фасонный элемент ФЭ-4 ГОСТ 14918-80</t>
  </si>
  <si>
    <t>ис-47099</t>
  </si>
  <si>
    <t>Фасонный элемент ФЭ-4 RAL9006 (Zn275) PVDF 0,7х585х2500-3шт (С2.9.3.2)</t>
  </si>
  <si>
    <t>Фасонный элемент ФЭ-9 ГОСТ 14918-80</t>
  </si>
  <si>
    <t>Фасонный элемент ФЭ-11 ГОСТ 14918-80</t>
  </si>
  <si>
    <t>Фасонный элемент ФЭ-12 ГОСТ 14918-80</t>
  </si>
  <si>
    <t>Фасонный элемент ФЭ-13 ГОСТ 14918-80</t>
  </si>
  <si>
    <t>С2.9.3.5</t>
  </si>
  <si>
    <t>Конвейерная галерея минеральных удобрений ГК-18</t>
  </si>
  <si>
    <t>ПС-70/2-10-С2.9.3.5-АР1 изм.1</t>
  </si>
  <si>
    <t>Устройство кровли из сэндвич-панелей</t>
  </si>
  <si>
    <t>Кровельные панели ТСП-K-120-1000-ТГ-Т-МВ (ПВДФ-RAL9003-0,7)  ГОСТ 32603-2012</t>
  </si>
  <si>
    <t>ис-47708</t>
  </si>
  <si>
    <t>Панель трехслойная МВ К (120х1000х0,70/0,70х7047РVDF/9003PVDF)(L 5940)</t>
  </si>
  <si>
    <t>Саморез для сэндвич панелей 6,3/5,5х155 РТ5 с ЭПДМ резина</t>
  </si>
  <si>
    <t>Лист профилированный НС75-750-0,8 двусторонее покрытие ПВДФ RAL: 7047/9003 L 5730 мм</t>
  </si>
  <si>
    <t>Шуруп для профилированных листов HЕ5-R-Z19 5.5 x 38</t>
  </si>
  <si>
    <t>Шуруп для профилированных листов HE4-R-Z16 5.5 х 25</t>
  </si>
  <si>
    <t>ис-43777</t>
  </si>
  <si>
    <t>Уплотнитель Н 75 нижний 0,75м</t>
  </si>
  <si>
    <t>ис-43778</t>
  </si>
  <si>
    <t>Уплотнитель Н 75 верхний 0,75м</t>
  </si>
  <si>
    <t>Фасонный элемент ФЭ-1 ГОСТ 14918-80</t>
  </si>
  <si>
    <t>ис-45921</t>
  </si>
  <si>
    <t>ФЭ-1 RAL9006 PVDF  0,7х380х2500-12 шт</t>
  </si>
  <si>
    <t>Фасонный элемент ФЭ-2 ГОСТ 14918-80</t>
  </si>
  <si>
    <t>ис-45928</t>
  </si>
  <si>
    <t>ФЭ-2 RAL9006 PVDF  0,7х165х2500-12шт</t>
  </si>
  <si>
    <t>ис-45930</t>
  </si>
  <si>
    <t>ФЭ-3 RAL9006 PVDF  0,7х560х2500-5шт</t>
  </si>
  <si>
    <t>ис-45932</t>
  </si>
  <si>
    <t>ФЭ-4 RAL9006 PVDF  0,7х700х2500-12шт</t>
  </si>
  <si>
    <t>Опорный элемент ОП-2</t>
  </si>
  <si>
    <t>ис-47090</t>
  </si>
  <si>
    <t>Опорный элемент ОП-2 ОЦ 2,5х120х1250-9 шт (С2.9.3.3)</t>
  </si>
  <si>
    <t>Заклепка алюминий/сталь 4х10 KENNER-SRC</t>
  </si>
  <si>
    <t>Пена противопожарная Tytan Professional B1</t>
  </si>
  <si>
    <t>ис-44846</t>
  </si>
  <si>
    <t>Пена профессион.огнеупорная Tytan PROFESSIONAL В 1 750 мл</t>
  </si>
  <si>
    <t>ис-44982</t>
  </si>
  <si>
    <t>Желоб водосточный 20000 мм (ст) d185 (RAL 7047)</t>
  </si>
  <si>
    <t>ис-44987</t>
  </si>
  <si>
    <t>Заглушка желоба (ст)  d 185, (RAL 7047)</t>
  </si>
  <si>
    <t>ис-44986</t>
  </si>
  <si>
    <t>Крепление желоба полосы 20х4 (ст) 350 мм, d 185, (RAL 7047)</t>
  </si>
  <si>
    <t>ис-44985</t>
  </si>
  <si>
    <t>Воронка желоба (ст) верхний d 180,нижний d150 (RAL 7047)</t>
  </si>
  <si>
    <t>ис-44978</t>
  </si>
  <si>
    <t>Труба водосточная (ст) 2000мм d150 (RAL 7047)</t>
  </si>
  <si>
    <t>ис-44980</t>
  </si>
  <si>
    <t>Крепление трубы со шпилькой М10 200 мм (ст) d150 (RAL 7047)</t>
  </si>
  <si>
    <t>ис-44989</t>
  </si>
  <si>
    <t>Колено трубы (ст)  d 150 ,60 Град.(RAL 7047)</t>
  </si>
  <si>
    <t>ис-45086</t>
  </si>
  <si>
    <t>Герметик Сазиласт 13  серый,600мл,СТО 118-37547621-2017;класса1 1П М ГОСТ Р 59522</t>
  </si>
  <si>
    <t>Пластина 2Ф-II-АМС-С-5, 0,55м х 0,44м (RAL 9006)</t>
  </si>
  <si>
    <t>ис-44054</t>
  </si>
  <si>
    <t>Пластина 2Н-II-АМС-С-5 5х550х440 мм</t>
  </si>
  <si>
    <t>Ограждение Roof Systems ELITE H-680 40х20 (овал), 2 трубы EURO, RAL 9006, L=3м</t>
  </si>
  <si>
    <t>ис-45131</t>
  </si>
  <si>
    <t>Ограждение кровельное Snegos  "Эконом плюс-680" ОЦ ЭБК-КО-300/680-3000 с плоскоовальной трубой RAL 9006</t>
  </si>
  <si>
    <t>Снегозадержатель трубчатый Roof Systems Престиж ZN овальный 25х45мм L=3м</t>
  </si>
  <si>
    <t>ис-45129</t>
  </si>
  <si>
    <t>Снегозадержатель Snegos  Эконом ОЦ L-3000 RAL 9006</t>
  </si>
  <si>
    <t xml:space="preserve">Планка-переходник для кровельной сэндвич-панели </t>
  </si>
  <si>
    <t>Поликарбонат ПЛМПКТ-1,3-4200-1050-ОРН-Пр-Глн</t>
  </si>
  <si>
    <t>Поликарбонат ПЛМПКТ-1,3-4200-1050-БЦ-Пр-Глн</t>
  </si>
  <si>
    <t>Поликарбонат ПЛМПКТ-1,3-5400-1050-ОРН-Пр-Глн</t>
  </si>
  <si>
    <t>Лист профилированный НС44-1000-0,8 двусторонее покрытие ПВДФ RAL5005/RAL9003 L 4200 мм</t>
  </si>
  <si>
    <t>Лист профилированный НС44-1000-0,8 двусторонее покрытие ПВДФ RAL5005/RAL9003 L 5400 мм</t>
  </si>
  <si>
    <t>Фасонный элемент ФЭ-6 ГОСТ 14918-80</t>
  </si>
  <si>
    <t>ис-45939</t>
  </si>
  <si>
    <t>ФЭ-6 RAL9006 PVDF  0,7х210х2500-38шт</t>
  </si>
  <si>
    <t>Устройство стен из сэндвич-панелей</t>
  </si>
  <si>
    <t>Сэндвич-панель ТСП-Z-80-1000-В-Т-МВ ПВДФ-RAL5005-0,7/ПВДФ-RAL9003-0,7</t>
  </si>
  <si>
    <t>ис-47711    ис-47710</t>
  </si>
  <si>
    <t>Панель трехслойная МВ С (80х1000х0,70/0,70х5005РVDF/9003PVDF)(L 5400)        Панель трехслойная МВ С (80х1000х0,70/0,70х5005РVDF/9003PVDF)(L 4200)</t>
  </si>
  <si>
    <t>64.8      46.2</t>
  </si>
  <si>
    <t>Сэндвич-панель ТСП-Z-80-1000-В-Т-МВ ПВДФ-0,7-RAL 2009/ПВДФ-0,7-RAL 9003</t>
  </si>
  <si>
    <t>ис-47703</t>
  </si>
  <si>
    <t>Панель трехслойная МВ С (80х1000х0,70/0,70х2009РVDF/9003PVDF)(L 5400)</t>
  </si>
  <si>
    <t>Сэндвич-панель ТСП-Z-80-1000-В-Т-МВ ПВДФ RAL 9003</t>
  </si>
  <si>
    <t>ис-47709</t>
  </si>
  <si>
    <t>Панель трехслойная МВ С(80х1000х0,70/0,70х9003РVDF/9003PVDF)(L 4200)</t>
  </si>
  <si>
    <t>ис-45934</t>
  </si>
  <si>
    <t>ФЭ-5 RAL9006 PVDF  0,7х445х2500-6шт</t>
  </si>
  <si>
    <t>ис45280</t>
  </si>
  <si>
    <t>Наличие сертификатов, паспортов</t>
  </si>
  <si>
    <t>Паспорт качества 597/1 от 30.06.2025</t>
  </si>
  <si>
    <t>требование-накладная 2345 выписаны:
Саморез для сэндвич панелей 6,3/5,5х130
Саморез для сэндвич панелей 6,3/5,5х185</t>
  </si>
  <si>
    <t>Сертификат соответствия №0211927 крепежных изделий (винты, болты, саморезы, шурупы, шплинты, анкера, гайки, шайба, шпильки, заклепки, штифты, шпонки, пробки, пресс-масленка, хомут, дюбель, рым-болт, крюк, зажим, блок одинарный, шкив, карабин, коуш, талреп, заглушки, скобы, угловые шарниры, кольца стопорные, цепь витая, тросс стальной)</t>
  </si>
  <si>
    <t>Требование-накладная №554
Уплотнитель Н-75, И, нижний 0,75м (50 шт)</t>
  </si>
  <si>
    <t xml:space="preserve">Требование-накладная №554
Уплотнитель Н-75, И, верхний 0,75м (50 шт)
</t>
  </si>
  <si>
    <t>Паспорт качества №25.-01667</t>
  </si>
  <si>
    <t xml:space="preserve">Требование-накладная №661
</t>
  </si>
  <si>
    <t xml:space="preserve">Информационное письмо исх. №3536/Н от 14.02.2022г. </t>
  </si>
  <si>
    <t xml:space="preserve">Требование-накладная №1188
</t>
  </si>
  <si>
    <t>Сертификат качества</t>
  </si>
  <si>
    <t xml:space="preserve">Требование-накладная №1218
</t>
  </si>
  <si>
    <t>Паспорт на фасонные (доборные) элементы №0286 от 25.04.2025г.</t>
  </si>
  <si>
    <t>Сертификат соответствия №0229353 Профили стальные листовые гнутые</t>
  </si>
  <si>
    <t>Паспорт на фасонные (доборные) элементы №0283 от 25.04.2025г.</t>
  </si>
  <si>
    <t>Техническое свидетельство №6376-21 от 21.09.2021г.</t>
  </si>
  <si>
    <t>Паспорт на фасонные (доборные) элементы №00112.1 от 21.02.2025г.</t>
  </si>
  <si>
    <t xml:space="preserve">Требование-накладная №194
</t>
  </si>
  <si>
    <t>Свидетельство о государственной регистрации от 28.12.2017г.</t>
  </si>
  <si>
    <t xml:space="preserve">Требование-накладная №2862
</t>
  </si>
  <si>
    <t>Сертификат соответствия №1468184</t>
  </si>
  <si>
    <t>Паспорт качества 597/2 от 30.06.2025г.</t>
  </si>
  <si>
    <t>Паспорт качества 597/4 от 30.06.2025г.</t>
  </si>
  <si>
    <t>Сертификат соответствия №0211927 (Приложение 7)</t>
  </si>
  <si>
    <t>Сертифмкат соответствия</t>
  </si>
  <si>
    <t>Требование-накладная №3266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</si>
</sst>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43" formatCode="_-* #,##0.00_-;\-* #,##0.00_-;_-* &quot;-&quot;??_-;_-@_-"/>
    <numFmt numFmtId="164" formatCode="0.00;0;"/>
    <numFmt numFmtId="165" formatCode="mm\-\J\J"/>
    <numFmt numFmtId="166" formatCode="#,##0&quot;$&quot;;[Red]\-#,##0&quot;$&quot;"/>
    <numFmt numFmtId="167" formatCode="_-* #,##0&quot;?.&quot;_-;\-* #,##0&quot;?.&quot;_-;_-* &quot;-&quot;&quot;?.&quot;_-;_-@_-"/>
    <numFmt numFmtId="168" formatCode="_-* #,##0.00&quot;?.&quot;_-;\-* #,##0.00&quot;?.&quot;_-;_-* &quot;-&quot;??&quot;?.&quot;_-;_-@_-"/>
    <numFmt numFmtId="169" formatCode="_-* #,##0\ &quot;d.&quot;_-;\-* #,##0\ &quot;d.&quot;_-;_-* &quot;-&quot;\ &quot;d.&quot;_-;_-@_-"/>
    <numFmt numFmtId="170" formatCode="_-* #,##0\ _р_._-;\-* #,##0\ _р_._-;_-* &quot;-&quot;\ _р_._-;_-@_-"/>
    <numFmt numFmtId="171" formatCode="&quot;$&quot;#,##0_);[Red]\(&quot;$&quot;#,##0\)"/>
    <numFmt numFmtId="172" formatCode="_(&quot;$&quot;* #,##0.00_);_(&quot;$&quot;* \(#,##0.00\);_(&quot;$&quot;* &quot;-&quot;??_);_(@_)"/>
    <numFmt numFmtId="173" formatCode="General_)"/>
    <numFmt numFmtId="174" formatCode="_-* #,##0.00[$€-1]_-;\-* #,##0.00[$€-1]_-;_-* &quot;-&quot;??[$€-1]_-"/>
    <numFmt numFmtId="175" formatCode="_-* #,##0.00[$€-1]_-;\-* #,##0.00[$€-1]_-;_-* \-??[$€-1]_-"/>
    <numFmt numFmtId="176" formatCode="_(&quot;kr&quot;\ * #,##0_);_(&quot;kr&quot;\ * \(#,##0\);_(&quot;kr&quot;\ * &quot;-&quot;_);_(@_)"/>
    <numFmt numFmtId="177" formatCode="&quot;$&quot;0.00"/>
    <numFmt numFmtId="178" formatCode="#,##0.00\ &quot;DM&quot;;\-#,##0.00\ &quot;DM&quot;"/>
    <numFmt numFmtId="179" formatCode="_-* #,##0\ _d_._-;\-* #,##0\ _d_._-;_-* &quot;-&quot;\ _d_._-;_-@_-"/>
    <numFmt numFmtId="180" formatCode="_-* #,##0.00\ _d_._-;\-* #,##0.00\ _d_._-;_-* &quot;-&quot;??\ _d_._-;_-@_-"/>
    <numFmt numFmtId="181" formatCode="_-* #,##0_?_._-;\-* #,##0_?_._-;_-* &quot;-&quot;_?_._-;_-@_-"/>
    <numFmt numFmtId="182" formatCode="_-* #,##0.00_?_._-;\-* #,##0.00_?_._-;_-* &quot;-&quot;??_?_._-;_-@_-"/>
    <numFmt numFmtId="183" formatCode="#,##0&quot; DM&quot;;\-#,##0&quot; DM&quot;"/>
    <numFmt numFmtId="184" formatCode="_ * #,##0.00_)_?_ ;_ * \(#,##0.00\)_?_ ;_ * &quot;-&quot;??_)_?_ ;_ @_ "/>
    <numFmt numFmtId="185" formatCode="_(* #,##0_);_(* \(#,##0\);_(* &quot;-&quot;??_);_(@_)"/>
    <numFmt numFmtId="186" formatCode="mmmm\ d\,\ yyyy"/>
    <numFmt numFmtId="187" formatCode="_-* #,##0&quot;р.&quot;_-;\-* #,##0&quot;р.&quot;_-;_-* &quot;-&quot;&quot;р.&quot;_-;_-@_-"/>
    <numFmt numFmtId="188" formatCode="_-* #,##0&quot;р.&quot;_-;\-* #,##0&quot;р.&quot;_-;_-* &quot;-р.&quot;_-;_-@_-"/>
    <numFmt numFmtId="189" formatCode="_-* #,##0.00&quot;р.&quot;_-;\-* #,##0.00&quot;р.&quot;_-;_-* &quot;-&quot;??&quot;р.&quot;_-;_-@_-"/>
    <numFmt numFmtId="190" formatCode="_-* #,##0.00\ _р_._-;\-* #,##0.00\ _р_._-;_-* &quot;-&quot;??\ _р_._-;_-@_-"/>
    <numFmt numFmtId="191" formatCode="_-* #,##0_р_._-;\-* #,##0_р_._-;_-* &quot;-&quot;_р_._-;_-@_-"/>
    <numFmt numFmtId="192" formatCode="_-* #,##0.00_р_._-;\-* #,##0.00_р_._-;_-* &quot;-&quot;??_р_._-;_-@_-"/>
    <numFmt numFmtId="193" formatCode="#,##0.00000"/>
    <numFmt numFmtId="194" formatCode="_-* #,##0.00\ _₽_-;\-* #,##0.00\ _₽_-;_-* &quot;-&quot;??\ _₽_-;_-@_-"/>
    <numFmt numFmtId="195" formatCode="_-* #,##0.00_р_._-;\-* #,##0.00_р_._-;_-* \-??_р_._-;_-@_-"/>
    <numFmt numFmtId="196" formatCode="#,##0&quot;р.&quot;"/>
    <numFmt numFmtId="197" formatCode="#,##0.000"/>
  </numFmts>
  <fonts count="118">
    <font>
      <sz val="11"/>
      <color theme="1"/>
      <name val="Calibri"/>
      <scheme val="minor"/>
    </font>
    <font>
      <sz val="10"/>
      <name val="Helv"/>
    </font>
    <font>
      <sz val="10"/>
      <name val="Arial Cyr"/>
    </font>
    <font>
      <sz val="10"/>
      <name val="Arial"/>
    </font>
    <font>
      <sz val="10"/>
      <name val="Times New Roman CYR"/>
    </font>
    <font>
      <sz val="10"/>
      <name val="Times New Roman Cyr"/>
    </font>
    <font>
      <b/>
      <i/>
      <sz val="12"/>
      <color indexed="4"/>
      <name val="Arial Cyr"/>
    </font>
    <font>
      <b/>
      <sz val="11"/>
      <name val="Arial Cyr"/>
    </font>
    <font>
      <sz val="11"/>
      <color indexed="64"/>
      <name val="Calibri"/>
    </font>
    <font>
      <sz val="9"/>
      <name val="Arial"/>
    </font>
    <font>
      <sz val="10"/>
      <color indexed="64"/>
      <name val="Arial"/>
    </font>
    <font>
      <b/>
      <sz val="9"/>
      <name val="Arial Cyr"/>
    </font>
    <font>
      <sz val="11"/>
      <color indexed="65"/>
      <name val="Calibri"/>
    </font>
    <font>
      <sz val="11"/>
      <color indexed="43"/>
      <name val="Calibri"/>
    </font>
    <font>
      <sz val="11"/>
      <color indexed="20"/>
      <name val="Calibri"/>
    </font>
    <font>
      <sz val="11"/>
      <color indexed="16"/>
      <name val="Calibri"/>
    </font>
    <font>
      <sz val="8"/>
      <color theme="1"/>
      <name val="Calibri"/>
      <scheme val="minor"/>
    </font>
    <font>
      <b/>
      <sz val="11"/>
      <color indexed="52"/>
      <name val="Calibri"/>
    </font>
    <font>
      <b/>
      <sz val="11"/>
      <color indexed="53"/>
      <name val="Calibri"/>
    </font>
    <font>
      <b/>
      <sz val="10"/>
      <name val="Helv"/>
    </font>
    <font>
      <b/>
      <sz val="11"/>
      <color indexed="65"/>
      <name val="Calibri"/>
    </font>
    <font>
      <i/>
      <sz val="9"/>
      <color theme="1"/>
      <name val="Calibri"/>
      <scheme val="minor"/>
    </font>
    <font>
      <sz val="12"/>
      <name val="Arial"/>
    </font>
    <font>
      <sz val="10"/>
      <name val="TimesDL"/>
    </font>
    <font>
      <b/>
      <sz val="9"/>
      <name val="TimesDL"/>
    </font>
    <font>
      <sz val="10"/>
      <name val="MS Sans Serif"/>
    </font>
    <font>
      <b/>
      <sz val="10"/>
      <name val="Palatino"/>
    </font>
    <font>
      <i/>
      <sz val="10"/>
      <name val="Arial"/>
    </font>
    <font>
      <b/>
      <sz val="11"/>
      <color indexed="64"/>
      <name val="Calibri"/>
    </font>
    <font>
      <sz val="9"/>
      <color indexed="64"/>
      <name val="NTHarmonica"/>
    </font>
    <font>
      <b/>
      <sz val="9"/>
      <color indexed="48"/>
      <name val="TimesDL"/>
    </font>
    <font>
      <sz val="10"/>
      <color indexed="64"/>
      <name val="TimesDL"/>
    </font>
    <font>
      <i/>
      <sz val="11"/>
      <color indexed="23"/>
      <name val="Calibri"/>
    </font>
    <font>
      <sz val="10"/>
      <name val="Ѓanoeii"/>
    </font>
    <font>
      <u/>
      <sz val="11"/>
      <color indexed="20"/>
      <name val="Times New Roman Cyr"/>
    </font>
    <font>
      <sz val="11"/>
      <color indexed="17"/>
      <name val="Calibri"/>
    </font>
    <font>
      <sz val="8"/>
      <name val="Arial"/>
    </font>
    <font>
      <b/>
      <sz val="12"/>
      <color indexed="2"/>
      <name val="Arial"/>
    </font>
    <font>
      <b/>
      <sz val="12"/>
      <name val="Helv"/>
    </font>
    <font>
      <b/>
      <sz val="12"/>
      <name val="Arial"/>
    </font>
    <font>
      <b/>
      <sz val="15"/>
      <color indexed="56"/>
      <name val="Calibri"/>
    </font>
    <font>
      <b/>
      <sz val="15"/>
      <color indexed="62"/>
      <name val="Calibri"/>
    </font>
    <font>
      <b/>
      <sz val="13"/>
      <color indexed="56"/>
      <name val="Calibri"/>
    </font>
    <font>
      <b/>
      <sz val="13"/>
      <color indexed="62"/>
      <name val="Calibri"/>
    </font>
    <font>
      <b/>
      <sz val="11"/>
      <color indexed="56"/>
      <name val="Calibri"/>
    </font>
    <font>
      <b/>
      <sz val="11"/>
      <color indexed="62"/>
      <name val="Calibri"/>
    </font>
    <font>
      <u/>
      <sz val="11"/>
      <color indexed="4"/>
      <name val="Times New Roman Cyr"/>
    </font>
    <font>
      <sz val="11"/>
      <color indexed="62"/>
      <name val="Calibri"/>
    </font>
    <font>
      <b/>
      <sz val="9"/>
      <name val="Helv"/>
    </font>
    <font>
      <b/>
      <sz val="14"/>
      <name val="Helv"/>
    </font>
    <font>
      <sz val="11"/>
      <color indexed="52"/>
      <name val="Calibri"/>
    </font>
    <font>
      <sz val="11"/>
      <color indexed="53"/>
      <name val="Calibri"/>
    </font>
    <font>
      <b/>
      <sz val="11"/>
      <name val="Helv"/>
    </font>
    <font>
      <b/>
      <sz val="8"/>
      <color indexed="4"/>
      <name val="Calibri"/>
      <scheme val="minor"/>
    </font>
    <font>
      <sz val="11"/>
      <color indexed="60"/>
      <name val="Calibri"/>
    </font>
    <font>
      <b/>
      <u/>
      <sz val="10"/>
      <name val="Palatino"/>
    </font>
    <font>
      <sz val="8"/>
      <name val="Helv"/>
    </font>
    <font>
      <sz val="10"/>
      <name val="Arial CE"/>
    </font>
    <font>
      <sz val="7"/>
      <name val="Arial"/>
    </font>
    <font>
      <b/>
      <sz val="11"/>
      <color indexed="63"/>
      <name val="Calibri"/>
    </font>
    <font>
      <b/>
      <sz val="11"/>
      <color rgb="FF329664"/>
      <name val="Calibri"/>
      <scheme val="minor"/>
    </font>
    <font>
      <sz val="10"/>
      <name val="TimesET"/>
    </font>
    <font>
      <b/>
      <sz val="8"/>
      <name val="Palatino"/>
    </font>
    <font>
      <b/>
      <sz val="14"/>
      <color indexed="64"/>
      <name val="Arial"/>
    </font>
    <font>
      <i/>
      <sz val="7"/>
      <color indexed="64"/>
      <name val="Arial"/>
    </font>
    <font>
      <sz val="8"/>
      <color indexed="64"/>
      <name val="Arial"/>
    </font>
    <font>
      <sz val="7"/>
      <color indexed="64"/>
      <name val="Arial"/>
    </font>
    <font>
      <sz val="8"/>
      <color theme="1"/>
      <name val="Arial"/>
    </font>
    <font>
      <u/>
      <sz val="8"/>
      <color indexed="64"/>
      <name val="Arial"/>
    </font>
    <font>
      <i/>
      <sz val="8"/>
      <color indexed="64"/>
      <name val="Arial"/>
    </font>
    <font>
      <b/>
      <sz val="10"/>
      <color indexed="64"/>
      <name val="Arial"/>
    </font>
    <font>
      <sz val="10"/>
      <color theme="1"/>
      <name val="Arial"/>
    </font>
    <font>
      <b/>
      <sz val="8"/>
      <color indexed="64"/>
      <name val="Arial"/>
    </font>
    <font>
      <b/>
      <sz val="8"/>
      <color theme="1"/>
      <name val="Arial"/>
    </font>
    <font>
      <sz val="1"/>
      <color indexed="64"/>
      <name val="Arial"/>
    </font>
    <font>
      <sz val="10"/>
      <color indexed="4"/>
      <name val="Arial"/>
    </font>
    <font>
      <b/>
      <sz val="12"/>
      <color indexed="64"/>
      <name val="Arial"/>
    </font>
    <font>
      <b/>
      <sz val="16"/>
      <color indexed="23"/>
      <name val="Arial"/>
    </font>
    <font>
      <sz val="10"/>
      <color indexed="2"/>
      <name val="Arial"/>
    </font>
    <font>
      <b/>
      <i/>
      <sz val="10"/>
      <name val="Times New Roman"/>
    </font>
    <font>
      <b/>
      <sz val="18"/>
      <color indexed="62"/>
      <name val="Cambria"/>
    </font>
    <font>
      <i/>
      <sz val="10"/>
      <name val="MS Sans Serif"/>
    </font>
    <font>
      <sz val="12"/>
      <color indexed="64"/>
      <name val="NTHarmonica"/>
    </font>
    <font>
      <b/>
      <sz val="11"/>
      <color theme="1"/>
      <name val="Calibri"/>
      <scheme val="minor"/>
    </font>
    <font>
      <b/>
      <sz val="18"/>
      <color indexed="56"/>
      <name val="Cambria"/>
    </font>
    <font>
      <b/>
      <sz val="9"/>
      <color indexed="4"/>
      <name val="Arial"/>
    </font>
    <font>
      <b/>
      <sz val="11"/>
      <color rgb="FF0000C0"/>
      <name val="Calibri"/>
      <scheme val="minor"/>
    </font>
    <font>
      <sz val="11"/>
      <color indexed="2"/>
      <name val="Calibri"/>
    </font>
    <font>
      <sz val="10"/>
      <name val="Times New Roman"/>
    </font>
    <font>
      <sz val="11"/>
      <color theme="0"/>
      <name val="Calibri"/>
      <scheme val="minor"/>
    </font>
    <font>
      <u/>
      <sz val="10"/>
      <color indexed="4"/>
      <name val="Arial Cyr"/>
    </font>
    <font>
      <u/>
      <sz val="9"/>
      <color indexed="4"/>
      <name val="Arial"/>
    </font>
    <font>
      <sz val="12"/>
      <name val="Times New Roman"/>
    </font>
    <font>
      <b/>
      <sz val="10"/>
      <name val="Arial Cyr"/>
    </font>
    <font>
      <b/>
      <sz val="18"/>
      <name val="Arial"/>
    </font>
    <font>
      <b/>
      <sz val="11"/>
      <color indexed="43"/>
      <name val="Calibri"/>
    </font>
    <font>
      <sz val="18"/>
      <color theme="3"/>
      <name val="Cambria"/>
      <scheme val="major"/>
    </font>
    <font>
      <sz val="11"/>
      <name val="Arial"/>
    </font>
    <font>
      <sz val="11"/>
      <name val="Times New Roman Cyr"/>
    </font>
    <font>
      <sz val="11"/>
      <name val="Times New Roman"/>
    </font>
    <font>
      <sz val="9"/>
      <name val="Arial Cyr"/>
    </font>
    <font>
      <sz val="12"/>
      <color indexed="24"/>
      <name val="Arial"/>
    </font>
    <font>
      <sz val="12"/>
      <name val="Times New Roman Cyr"/>
    </font>
    <font>
      <sz val="12"/>
      <color indexed="64"/>
      <name val="Arial Narrow"/>
    </font>
    <font>
      <sz val="11"/>
      <color indexed="64"/>
      <name val="Arial Narrow"/>
    </font>
    <font>
      <sz val="12"/>
      <color theme="1"/>
      <name val="Arial Narrow"/>
    </font>
    <font>
      <sz val="12"/>
      <name val="Calibri"/>
    </font>
    <font>
      <b/>
      <sz val="10"/>
      <name val="Arial"/>
    </font>
    <font>
      <i/>
      <sz val="12"/>
      <color indexed="64"/>
      <name val="Arial"/>
    </font>
    <font>
      <b/>
      <i/>
      <sz val="10"/>
      <name val="Arial"/>
    </font>
    <font>
      <b/>
      <i/>
      <sz val="12"/>
      <name val="Arial"/>
    </font>
    <font>
      <sz val="12"/>
      <color indexed="64"/>
      <name val="Arial"/>
    </font>
    <font>
      <sz val="10"/>
      <name val="Arial Narrow"/>
    </font>
    <font>
      <sz val="12"/>
      <name val="Arial Narrow"/>
    </font>
    <font>
      <b/>
      <sz val="12"/>
      <name val="Arial Narrow"/>
    </font>
    <font>
      <sz val="11"/>
      <color theme="1"/>
      <name val="Calibri"/>
      <scheme val="minor"/>
    </font>
    <font>
      <sz val="12"/>
      <color indexed="64"/>
      <name val="Arial"/>
      <family val="2"/>
      <charset val="204"/>
    </font>
    <font>
      <sz val="12"/>
      <name val="Arial Narrow"/>
      <family val="2"/>
      <charset val="204"/>
    </font>
  </fonts>
  <fills count="87">
    <fill>
      <patternFill patternType="none"/>
    </fill>
    <fill>
      <patternFill patternType="gray125"/>
    </fill>
    <fill>
      <patternFill patternType="gray0625">
        <fgColor indexed="65"/>
      </patternFill>
    </fill>
    <fill>
      <patternFill patternType="solid">
        <fgColor indexed="31"/>
        <bgColor indexed="31"/>
      </patternFill>
    </fill>
    <fill>
      <patternFill patternType="solid">
        <fgColor indexed="45"/>
        <bgColor indexed="45"/>
      </patternFill>
    </fill>
    <fill>
      <patternFill patternType="solid">
        <fgColor indexed="42"/>
        <bgColor indexed="42"/>
      </patternFill>
    </fill>
    <fill>
      <patternFill patternType="solid">
        <fgColor indexed="46"/>
        <bgColor indexed="46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29"/>
        <bgColor indexed="29"/>
      </patternFill>
    </fill>
    <fill>
      <patternFill patternType="solid">
        <fgColor indexed="26"/>
        <bgColor indexed="26"/>
      </patternFill>
    </fill>
    <fill>
      <patternFill patternType="solid">
        <fgColor indexed="65"/>
      </patternFill>
    </fill>
    <fill>
      <patternFill patternType="solid">
        <fgColor indexed="44"/>
        <bgColor indexed="44"/>
      </patternFill>
    </fill>
    <fill>
      <patternFill patternType="solid">
        <fgColor indexed="3"/>
        <bgColor indexed="3"/>
      </patternFill>
    </fill>
    <fill>
      <patternFill patternType="solid">
        <fgColor indexed="51"/>
        <bgColor indexed="51"/>
      </patternFill>
    </fill>
    <fill>
      <patternFill patternType="solid">
        <fgColor indexed="22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30"/>
        <bgColor indexed="30"/>
      </patternFill>
    </fill>
    <fill>
      <patternFill patternType="solid">
        <fgColor indexed="20"/>
        <bgColor indexed="20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30"/>
        <bgColor indexed="21"/>
      </patternFill>
    </fill>
    <fill>
      <patternFill patternType="solid">
        <fgColor indexed="29"/>
        <bgColor indexed="5"/>
      </patternFill>
    </fill>
    <fill>
      <patternFill patternType="solid">
        <fgColor indexed="3"/>
        <bgColor indexed="49"/>
      </patternFill>
    </fill>
    <fill>
      <patternFill patternType="solid">
        <fgColor indexed="20"/>
        <bgColor indexed="20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2"/>
        <bgColor indexed="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53"/>
        <bgColor indexed="53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rgb="FFBDD6E7"/>
        <bgColor rgb="FFBDD6E7"/>
      </patternFill>
    </fill>
    <fill>
      <patternFill patternType="solid">
        <fgColor indexed="65"/>
      </patternFill>
    </fill>
    <fill>
      <patternFill patternType="solid">
        <fgColor indexed="55"/>
        <bgColor indexed="55"/>
      </patternFill>
    </fill>
    <fill>
      <patternFill patternType="lightUp">
        <fgColor indexed="65"/>
        <bgColor indexed="55"/>
      </patternFill>
    </fill>
    <fill>
      <patternFill patternType="lightUp">
        <fgColor indexed="65"/>
        <bgColor indexed="29"/>
      </patternFill>
    </fill>
    <fill>
      <patternFill patternType="lightUp">
        <fgColor indexed="65"/>
        <bgColor indexed="22"/>
      </patternFill>
    </fill>
    <fill>
      <patternFill patternType="lightTrellis">
        <fgColor rgb="FFAFAFAF"/>
        <bgColor rgb="FFEBEBEB"/>
      </patternFill>
    </fill>
    <fill>
      <patternFill patternType="solid">
        <fgColor indexed="47"/>
        <bgColor indexed="27"/>
      </patternFill>
    </fill>
    <fill>
      <patternFill patternType="solid">
        <fgColor rgb="FFEBEBEB"/>
        <bgColor rgb="FFEBEBEB"/>
      </patternFill>
    </fill>
    <fill>
      <patternFill patternType="solid">
        <fgColor rgb="FFFFFACD"/>
        <bgColor rgb="FFFFFACD"/>
      </patternFill>
    </fill>
    <fill>
      <patternFill patternType="solid">
        <fgColor rgb="FFDFDFDF"/>
        <bgColor rgb="FFDFDFDF"/>
      </patternFill>
    </fill>
    <fill>
      <patternFill patternType="solid">
        <fgColor rgb="FFE5F2FF"/>
        <bgColor rgb="FFE5F2FF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65"/>
        <bgColor indexed="26"/>
      </patternFill>
    </fill>
    <fill>
      <patternFill patternType="solid">
        <fgColor indexed="50"/>
        <bgColor indexed="50"/>
      </patternFill>
    </fill>
    <fill>
      <patternFill patternType="lightUp">
        <fgColor indexed="22"/>
        <bgColor indexed="7"/>
      </patternFill>
    </fill>
    <fill>
      <patternFill patternType="solid">
        <fgColor indexed="7"/>
        <bgColor indexed="7"/>
      </patternFill>
    </fill>
    <fill>
      <patternFill patternType="solid">
        <fgColor indexed="54"/>
        <bgColor indexed="54"/>
      </patternFill>
    </fill>
    <fill>
      <patternFill patternType="solid">
        <fgColor indexed="23"/>
        <bgColor indexed="23"/>
      </patternFill>
    </fill>
    <fill>
      <patternFill patternType="solid">
        <fgColor theme="4"/>
        <bgColor theme="4"/>
      </patternFill>
    </fill>
    <fill>
      <patternFill patternType="solid">
        <fgColor indexed="62"/>
        <bgColor indexed="56"/>
      </patternFill>
    </fill>
    <fill>
      <patternFill patternType="solid">
        <fgColor indexed="2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7"/>
        <bgColor indexed="22"/>
      </patternFill>
    </fill>
    <fill>
      <patternFill patternType="solid">
        <fgColor indexed="22"/>
        <bgColor indexed="31"/>
      </patternFill>
    </fill>
    <fill>
      <patternFill patternType="solid">
        <fgColor indexed="43"/>
        <bgColor indexed="26"/>
      </patternFill>
    </fill>
    <fill>
      <patternFill patternType="solid">
        <fgColor indexed="45"/>
        <bgColor indexed="29"/>
      </patternFill>
    </fill>
    <fill>
      <patternFill patternType="solid">
        <fgColor indexed="45"/>
        <bgColor indexed="5"/>
      </patternFill>
    </fill>
    <fill>
      <patternFill patternType="solid">
        <fgColor indexed="42"/>
        <bgColor indexed="27"/>
      </patternFill>
    </fill>
    <fill>
      <patternFill patternType="solid">
        <fgColor theme="0"/>
        <bgColor theme="0"/>
      </patternFill>
    </fill>
    <fill>
      <patternFill patternType="solid">
        <fgColor rgb="FFB4C7E7"/>
        <bgColor rgb="FFB4C7E7"/>
      </patternFill>
    </fill>
    <fill>
      <patternFill patternType="solid">
        <fgColor theme="0"/>
        <bgColor rgb="FFB4C7E7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rgb="FFBFBFB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double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760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" fillId="0" borderId="0"/>
    <xf numFmtId="4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4" fontId="4" fillId="0" borderId="0">
      <alignment vertical="center"/>
    </xf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1" fillId="0" borderId="0"/>
    <xf numFmtId="0" fontId="1" fillId="0" borderId="0"/>
    <xf numFmtId="4" fontId="4" fillId="0" borderId="0">
      <alignment vertical="center"/>
    </xf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4" fontId="4" fillId="0" borderId="0">
      <alignment vertical="center"/>
    </xf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4" fontId="4" fillId="0" borderId="0">
      <alignment vertical="center"/>
    </xf>
    <xf numFmtId="4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4" fontId="4" fillId="0" borderId="0">
      <alignment vertical="center"/>
    </xf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4" fontId="4" fillId="0" borderId="0">
      <alignment vertical="center"/>
    </xf>
    <xf numFmtId="4" fontId="4" fillId="0" borderId="0">
      <alignment vertical="center"/>
    </xf>
    <xf numFmtId="4" fontId="4" fillId="0" borderId="0">
      <alignment vertical="center"/>
    </xf>
    <xf numFmtId="0" fontId="1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4" fontId="4" fillId="0" borderId="0">
      <alignment vertical="center"/>
    </xf>
    <xf numFmtId="4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4" fillId="0" borderId="0">
      <alignment vertical="center"/>
    </xf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4" fontId="4" fillId="0" borderId="0">
      <alignment vertical="center"/>
    </xf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4" fontId="4" fillId="0" borderId="0">
      <alignment vertical="center"/>
    </xf>
    <xf numFmtId="0" fontId="1" fillId="0" borderId="0"/>
    <xf numFmtId="0" fontId="1" fillId="0" borderId="0"/>
    <xf numFmtId="4" fontId="4" fillId="0" borderId="0">
      <alignment vertical="center"/>
    </xf>
    <xf numFmtId="4" fontId="4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2" fillId="0" borderId="0"/>
    <xf numFmtId="4" fontId="4" fillId="0" borderId="0">
      <alignment vertical="center"/>
    </xf>
    <xf numFmtId="4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4" fontId="4" fillId="0" borderId="0">
      <alignment vertical="center"/>
    </xf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4" fillId="0" borderId="0">
      <alignment vertical="center"/>
    </xf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" fillId="0" borderId="0"/>
    <xf numFmtId="4" fontId="4" fillId="0" borderId="0">
      <alignment vertical="center"/>
    </xf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4" fontId="4" fillId="0" borderId="0">
      <alignment vertical="center"/>
    </xf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4" fontId="4" fillId="0" borderId="0">
      <alignment vertical="center"/>
    </xf>
    <xf numFmtId="4" fontId="4" fillId="0" borderId="0">
      <alignment vertical="center"/>
    </xf>
    <xf numFmtId="4" fontId="4" fillId="0" borderId="0">
      <alignment vertical="center"/>
    </xf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4" fontId="4" fillId="0" borderId="0">
      <alignment vertical="center"/>
    </xf>
    <xf numFmtId="4" fontId="4" fillId="0" borderId="0">
      <alignment vertical="center"/>
    </xf>
    <xf numFmtId="4" fontId="5" fillId="0" borderId="0">
      <alignment vertical="center"/>
    </xf>
    <xf numFmtId="4" fontId="4" fillId="0" borderId="0">
      <alignment vertical="center"/>
    </xf>
    <xf numFmtId="4" fontId="4" fillId="0" borderId="0">
      <alignment vertical="center"/>
    </xf>
    <xf numFmtId="4" fontId="4" fillId="0" borderId="0">
      <alignment vertical="center"/>
    </xf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4" fontId="4" fillId="0" borderId="0">
      <alignment vertical="center"/>
    </xf>
    <xf numFmtId="0" fontId="2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4" fontId="4" fillId="0" borderId="0">
      <alignment vertical="center"/>
    </xf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2" fillId="0" borderId="0">
      <alignment horizontal="center"/>
    </xf>
    <xf numFmtId="165" fontId="6" fillId="2" borderId="1">
      <alignment vertical="center"/>
    </xf>
    <xf numFmtId="0" fontId="7" fillId="2" borderId="1">
      <alignment vertical="center"/>
    </xf>
    <xf numFmtId="0" fontId="8" fillId="3" borderId="0" applyNumberFormat="0" applyBorder="0" applyProtection="0"/>
    <xf numFmtId="0" fontId="8" fillId="4" borderId="0" applyNumberFormat="0" applyBorder="0" applyProtection="0"/>
    <xf numFmtId="0" fontId="8" fillId="5" borderId="0" applyNumberFormat="0" applyBorder="0" applyProtection="0"/>
    <xf numFmtId="0" fontId="8" fillId="6" borderId="0" applyNumberFormat="0" applyBorder="0" applyProtection="0"/>
    <xf numFmtId="0" fontId="8" fillId="7" borderId="0" applyNumberFormat="0" applyBorder="0" applyProtection="0"/>
    <xf numFmtId="0" fontId="8" fillId="8" borderId="0" applyNumberFormat="0" applyBorder="0" applyProtection="0"/>
    <xf numFmtId="0" fontId="8" fillId="8" borderId="0" applyNumberFormat="0" applyBorder="0" applyProtection="0"/>
    <xf numFmtId="0" fontId="8" fillId="3" borderId="0" applyNumberFormat="0" applyBorder="0" applyProtection="0"/>
    <xf numFmtId="0" fontId="8" fillId="3" borderId="0" applyNumberFormat="0" applyBorder="0" applyProtection="0"/>
    <xf numFmtId="0" fontId="8" fillId="3" borderId="0" applyNumberFormat="0" applyBorder="0" applyProtection="0"/>
    <xf numFmtId="0" fontId="8" fillId="3" borderId="0" applyNumberFormat="0" applyBorder="0" applyProtection="0"/>
    <xf numFmtId="0" fontId="8" fillId="3" borderId="0" applyNumberFormat="0" applyBorder="0" applyProtection="0"/>
    <xf numFmtId="0" fontId="8" fillId="3" borderId="0" applyNumberFormat="0" applyBorder="0" applyProtection="0"/>
    <xf numFmtId="0" fontId="8" fillId="3" borderId="0" applyNumberFormat="0" applyBorder="0" applyProtection="0"/>
    <xf numFmtId="0" fontId="8" fillId="3" borderId="0" applyNumberFormat="0" applyBorder="0" applyProtection="0"/>
    <xf numFmtId="0" fontId="8" fillId="3" borderId="0" applyNumberFormat="0" applyBorder="0" applyProtection="0"/>
    <xf numFmtId="0" fontId="8" fillId="8" borderId="0" applyNumberFormat="0" applyBorder="0" applyProtection="0"/>
    <xf numFmtId="0" fontId="8" fillId="8" borderId="0" applyNumberFormat="0" applyBorder="0" applyProtection="0"/>
    <xf numFmtId="0" fontId="8" fillId="8" borderId="0" applyNumberFormat="0" applyBorder="0" applyProtection="0"/>
    <xf numFmtId="0" fontId="8" fillId="8" borderId="0" applyNumberFormat="0" applyBorder="0" applyProtection="0"/>
    <xf numFmtId="0" fontId="8" fillId="8" borderId="0" applyNumberFormat="0" applyBorder="0" applyProtection="0"/>
    <xf numFmtId="0" fontId="8" fillId="8" borderId="0" applyNumberFormat="0" applyBorder="0" applyProtection="0"/>
    <xf numFmtId="0" fontId="8" fillId="9" borderId="0" applyNumberFormat="0" applyBorder="0" applyProtection="0"/>
    <xf numFmtId="0" fontId="8" fillId="4" borderId="0" applyNumberFormat="0" applyBorder="0" applyProtection="0"/>
    <xf numFmtId="0" fontId="8" fillId="4" borderId="0" applyNumberFormat="0" applyBorder="0" applyProtection="0"/>
    <xf numFmtId="0" fontId="8" fillId="4" borderId="0" applyNumberFormat="0" applyBorder="0" applyProtection="0"/>
    <xf numFmtId="0" fontId="8" fillId="4" borderId="0" applyNumberFormat="0" applyBorder="0" applyProtection="0"/>
    <xf numFmtId="0" fontId="8" fillId="4" borderId="0" applyNumberFormat="0" applyBorder="0" applyProtection="0"/>
    <xf numFmtId="0" fontId="8" fillId="4" borderId="0" applyNumberFormat="0" applyBorder="0" applyProtection="0"/>
    <xf numFmtId="0" fontId="8" fillId="4" borderId="0" applyNumberFormat="0" applyBorder="0" applyProtection="0"/>
    <xf numFmtId="0" fontId="8" fillId="4" borderId="0" applyNumberFormat="0" applyBorder="0" applyProtection="0"/>
    <xf numFmtId="0" fontId="8" fillId="4" borderId="0" applyNumberFormat="0" applyBorder="0" applyProtection="0"/>
    <xf numFmtId="0" fontId="8" fillId="9" borderId="0" applyNumberFormat="0" applyBorder="0" applyProtection="0"/>
    <xf numFmtId="0" fontId="8" fillId="9" borderId="0" applyNumberFormat="0" applyBorder="0" applyProtection="0"/>
    <xf numFmtId="0" fontId="8" fillId="9" borderId="0" applyNumberFormat="0" applyBorder="0" applyProtection="0"/>
    <xf numFmtId="0" fontId="8" fillId="9" borderId="0" applyNumberFormat="0" applyBorder="0" applyProtection="0"/>
    <xf numFmtId="0" fontId="8" fillId="9" borderId="0" applyNumberFormat="0" applyBorder="0" applyProtection="0"/>
    <xf numFmtId="0" fontId="8" fillId="9" borderId="0" applyNumberFormat="0" applyBorder="0" applyProtection="0"/>
    <xf numFmtId="0" fontId="8" fillId="10" borderId="0" applyNumberFormat="0" applyBorder="0" applyProtection="0"/>
    <xf numFmtId="0" fontId="8" fillId="5" borderId="0" applyNumberFormat="0" applyBorder="0" applyProtection="0"/>
    <xf numFmtId="0" fontId="8" fillId="5" borderId="0" applyNumberFormat="0" applyBorder="0" applyProtection="0"/>
    <xf numFmtId="0" fontId="8" fillId="5" borderId="0" applyNumberFormat="0" applyBorder="0" applyProtection="0"/>
    <xf numFmtId="0" fontId="8" fillId="5" borderId="0" applyNumberFormat="0" applyBorder="0" applyProtection="0"/>
    <xf numFmtId="0" fontId="8" fillId="5" borderId="0" applyNumberFormat="0" applyBorder="0" applyProtection="0"/>
    <xf numFmtId="0" fontId="8" fillId="5" borderId="0" applyNumberFormat="0" applyBorder="0" applyProtection="0"/>
    <xf numFmtId="0" fontId="8" fillId="5" borderId="0" applyNumberFormat="0" applyBorder="0" applyProtection="0"/>
    <xf numFmtId="0" fontId="8" fillId="5" borderId="0" applyNumberFormat="0" applyBorder="0" applyProtection="0"/>
    <xf numFmtId="0" fontId="8" fillId="5" borderId="0" applyNumberFormat="0" applyBorder="0" applyProtection="0"/>
    <xf numFmtId="0" fontId="8" fillId="10" borderId="0" applyNumberFormat="0" applyBorder="0" applyProtection="0"/>
    <xf numFmtId="0" fontId="8" fillId="10" borderId="0" applyNumberFormat="0" applyBorder="0" applyProtection="0"/>
    <xf numFmtId="0" fontId="8" fillId="10" borderId="0" applyNumberFormat="0" applyBorder="0" applyProtection="0"/>
    <xf numFmtId="0" fontId="8" fillId="10" borderId="0" applyNumberFormat="0" applyBorder="0" applyProtection="0"/>
    <xf numFmtId="0" fontId="8" fillId="10" borderId="0" applyNumberFormat="0" applyBorder="0" applyProtection="0"/>
    <xf numFmtId="0" fontId="8" fillId="10" borderId="0" applyNumberFormat="0" applyBorder="0" applyProtection="0"/>
    <xf numFmtId="0" fontId="8" fillId="8" borderId="0" applyNumberFormat="0" applyBorder="0" applyProtection="0"/>
    <xf numFmtId="0" fontId="8" fillId="6" borderId="0" applyNumberFormat="0" applyBorder="0" applyProtection="0"/>
    <xf numFmtId="0" fontId="8" fillId="6" borderId="0" applyNumberFormat="0" applyBorder="0" applyProtection="0"/>
    <xf numFmtId="0" fontId="8" fillId="6" borderId="0" applyNumberFormat="0" applyBorder="0" applyProtection="0"/>
    <xf numFmtId="0" fontId="8" fillId="6" borderId="0" applyNumberFormat="0" applyBorder="0" applyProtection="0"/>
    <xf numFmtId="0" fontId="8" fillId="6" borderId="0" applyNumberFormat="0" applyBorder="0" applyProtection="0"/>
    <xf numFmtId="0" fontId="8" fillId="6" borderId="0" applyNumberFormat="0" applyBorder="0" applyProtection="0"/>
    <xf numFmtId="0" fontId="8" fillId="6" borderId="0" applyNumberFormat="0" applyBorder="0" applyProtection="0"/>
    <xf numFmtId="0" fontId="8" fillId="6" borderId="0" applyNumberFormat="0" applyBorder="0" applyProtection="0"/>
    <xf numFmtId="0" fontId="8" fillId="6" borderId="0" applyNumberFormat="0" applyBorder="0" applyProtection="0"/>
    <xf numFmtId="0" fontId="8" fillId="8" borderId="0" applyNumberFormat="0" applyBorder="0" applyProtection="0"/>
    <xf numFmtId="0" fontId="8" fillId="8" borderId="0" applyNumberFormat="0" applyBorder="0" applyProtection="0"/>
    <xf numFmtId="0" fontId="8" fillId="8" borderId="0" applyNumberFormat="0" applyBorder="0" applyProtection="0"/>
    <xf numFmtId="0" fontId="8" fillId="8" borderId="0" applyNumberFormat="0" applyBorder="0" applyProtection="0"/>
    <xf numFmtId="0" fontId="8" fillId="8" borderId="0" applyNumberFormat="0" applyBorder="0" applyProtection="0"/>
    <xf numFmtId="0" fontId="8" fillId="8" borderId="0" applyNumberFormat="0" applyBorder="0" applyProtection="0"/>
    <xf numFmtId="0" fontId="8" fillId="7" borderId="0" applyNumberFormat="0" applyBorder="0" applyProtection="0"/>
    <xf numFmtId="0" fontId="8" fillId="7" borderId="0" applyNumberFormat="0" applyBorder="0" applyProtection="0"/>
    <xf numFmtId="0" fontId="8" fillId="7" borderId="0" applyNumberFormat="0" applyBorder="0" applyProtection="0"/>
    <xf numFmtId="0" fontId="8" fillId="7" borderId="0" applyNumberFormat="0" applyBorder="0" applyProtection="0"/>
    <xf numFmtId="0" fontId="8" fillId="7" borderId="0" applyNumberFormat="0" applyBorder="0" applyProtection="0"/>
    <xf numFmtId="0" fontId="8" fillId="7" borderId="0" applyNumberFormat="0" applyBorder="0" applyProtection="0"/>
    <xf numFmtId="0" fontId="8" fillId="7" borderId="0" applyNumberFormat="0" applyBorder="0" applyProtection="0"/>
    <xf numFmtId="0" fontId="8" fillId="7" borderId="0" applyNumberFormat="0" applyBorder="0" applyProtection="0"/>
    <xf numFmtId="0" fontId="8" fillId="7" borderId="0" applyNumberFormat="0" applyBorder="0" applyProtection="0"/>
    <xf numFmtId="0" fontId="8" fillId="10" borderId="0" applyNumberFormat="0" applyBorder="0" applyProtection="0"/>
    <xf numFmtId="0" fontId="8" fillId="8" borderId="0" applyNumberFormat="0" applyBorder="0" applyProtection="0"/>
    <xf numFmtId="0" fontId="8" fillId="8" borderId="0" applyNumberFormat="0" applyBorder="0" applyProtection="0"/>
    <xf numFmtId="0" fontId="8" fillId="8" borderId="0" applyNumberFormat="0" applyBorder="0" applyProtection="0"/>
    <xf numFmtId="0" fontId="8" fillId="8" borderId="0" applyNumberFormat="0" applyBorder="0" applyProtection="0"/>
    <xf numFmtId="0" fontId="8" fillId="8" borderId="0" applyNumberFormat="0" applyBorder="0" applyProtection="0"/>
    <xf numFmtId="0" fontId="8" fillId="8" borderId="0" applyNumberFormat="0" applyBorder="0" applyProtection="0"/>
    <xf numFmtId="0" fontId="8" fillId="8" borderId="0" applyNumberFormat="0" applyBorder="0" applyProtection="0"/>
    <xf numFmtId="0" fontId="8" fillId="8" borderId="0" applyNumberFormat="0" applyBorder="0" applyProtection="0"/>
    <xf numFmtId="0" fontId="8" fillId="8" borderId="0" applyNumberFormat="0" applyBorder="0" applyProtection="0"/>
    <xf numFmtId="0" fontId="8" fillId="10" borderId="0" applyNumberFormat="0" applyBorder="0" applyProtection="0"/>
    <xf numFmtId="0" fontId="8" fillId="10" borderId="0" applyNumberFormat="0" applyBorder="0" applyProtection="0"/>
    <xf numFmtId="0" fontId="8" fillId="10" borderId="0" applyNumberFormat="0" applyBorder="0" applyProtection="0"/>
    <xf numFmtId="0" fontId="8" fillId="10" borderId="0" applyNumberFormat="0" applyBorder="0" applyProtection="0"/>
    <xf numFmtId="0" fontId="8" fillId="10" borderId="0" applyNumberFormat="0" applyBorder="0" applyProtection="0"/>
    <xf numFmtId="0" fontId="8" fillId="10" borderId="0" applyNumberFormat="0" applyBorder="0" applyProtection="0"/>
    <xf numFmtId="0" fontId="9" fillId="11" borderId="2">
      <alignment vertical="center" wrapText="1"/>
    </xf>
    <xf numFmtId="166" fontId="10" fillId="11" borderId="2">
      <alignment horizontal="center" vertical="center"/>
    </xf>
    <xf numFmtId="166" fontId="10" fillId="11" borderId="2">
      <alignment horizontal="center" vertical="center"/>
    </xf>
    <xf numFmtId="166" fontId="10" fillId="11" borderId="2">
      <alignment horizontal="center" vertical="center"/>
    </xf>
    <xf numFmtId="0" fontId="8" fillId="12" borderId="0" applyNumberFormat="0" applyBorder="0" applyProtection="0"/>
    <xf numFmtId="0" fontId="8" fillId="9" borderId="0" applyNumberFormat="0" applyBorder="0" applyProtection="0"/>
    <xf numFmtId="0" fontId="8" fillId="13" borderId="0" applyNumberFormat="0" applyBorder="0" applyProtection="0"/>
    <xf numFmtId="0" fontId="8" fillId="6" borderId="0" applyNumberFormat="0" applyBorder="0" applyProtection="0"/>
    <xf numFmtId="0" fontId="8" fillId="12" borderId="0" applyNumberFormat="0" applyBorder="0" applyProtection="0"/>
    <xf numFmtId="0" fontId="8" fillId="14" borderId="0" applyNumberFormat="0" applyBorder="0" applyProtection="0"/>
    <xf numFmtId="0" fontId="8" fillId="15" borderId="0" applyNumberFormat="0" applyBorder="0" applyProtection="0"/>
    <xf numFmtId="0" fontId="8" fillId="12" borderId="0" applyNumberFormat="0" applyBorder="0" applyProtection="0"/>
    <xf numFmtId="0" fontId="8" fillId="12" borderId="0" applyNumberFormat="0" applyBorder="0" applyProtection="0"/>
    <xf numFmtId="0" fontId="8" fillId="12" borderId="0" applyNumberFormat="0" applyBorder="0" applyProtection="0"/>
    <xf numFmtId="0" fontId="8" fillId="12" borderId="0" applyNumberFormat="0" applyBorder="0" applyProtection="0"/>
    <xf numFmtId="0" fontId="8" fillId="12" borderId="0" applyNumberFormat="0" applyBorder="0" applyProtection="0"/>
    <xf numFmtId="0" fontId="8" fillId="12" borderId="0" applyNumberFormat="0" applyBorder="0" applyProtection="0"/>
    <xf numFmtId="0" fontId="8" fillId="12" borderId="0" applyNumberFormat="0" applyBorder="0" applyProtection="0"/>
    <xf numFmtId="0" fontId="8" fillId="12" borderId="0" applyNumberFormat="0" applyBorder="0" applyProtection="0"/>
    <xf numFmtId="0" fontId="8" fillId="12" borderId="0" applyNumberFormat="0" applyBorder="0" applyProtection="0"/>
    <xf numFmtId="0" fontId="8" fillId="15" borderId="0" applyNumberFormat="0" applyBorder="0" applyProtection="0"/>
    <xf numFmtId="0" fontId="8" fillId="15" borderId="0" applyNumberFormat="0" applyBorder="0" applyProtection="0"/>
    <xf numFmtId="0" fontId="8" fillId="15" borderId="0" applyNumberFormat="0" applyBorder="0" applyProtection="0"/>
    <xf numFmtId="0" fontId="8" fillId="15" borderId="0" applyNumberFormat="0" applyBorder="0" applyProtection="0"/>
    <xf numFmtId="0" fontId="8" fillId="15" borderId="0" applyNumberFormat="0" applyBorder="0" applyProtection="0"/>
    <xf numFmtId="0" fontId="8" fillId="15" borderId="0" applyNumberFormat="0" applyBorder="0" applyProtection="0"/>
    <xf numFmtId="0" fontId="8" fillId="9" borderId="0" applyNumberFormat="0" applyBorder="0" applyProtection="0"/>
    <xf numFmtId="0" fontId="8" fillId="9" borderId="0" applyNumberFormat="0" applyBorder="0" applyProtection="0"/>
    <xf numFmtId="0" fontId="8" fillId="9" borderId="0" applyNumberFormat="0" applyBorder="0" applyProtection="0"/>
    <xf numFmtId="0" fontId="8" fillId="9" borderId="0" applyNumberFormat="0" applyBorder="0" applyProtection="0"/>
    <xf numFmtId="0" fontId="8" fillId="9" borderId="0" applyNumberFormat="0" applyBorder="0" applyProtection="0"/>
    <xf numFmtId="0" fontId="8" fillId="9" borderId="0" applyNumberFormat="0" applyBorder="0" applyProtection="0"/>
    <xf numFmtId="0" fontId="8" fillId="9" borderId="0" applyNumberFormat="0" applyBorder="0" applyProtection="0"/>
    <xf numFmtId="0" fontId="8" fillId="9" borderId="0" applyNumberFormat="0" applyBorder="0" applyProtection="0"/>
    <xf numFmtId="0" fontId="8" fillId="9" borderId="0" applyNumberFormat="0" applyBorder="0" applyProtection="0"/>
    <xf numFmtId="0" fontId="8" fillId="16" borderId="0" applyNumberFormat="0" applyBorder="0" applyProtection="0"/>
    <xf numFmtId="0" fontId="8" fillId="13" borderId="0" applyNumberFormat="0" applyBorder="0" applyProtection="0"/>
    <xf numFmtId="0" fontId="8" fillId="13" borderId="0" applyNumberFormat="0" applyBorder="0" applyProtection="0"/>
    <xf numFmtId="0" fontId="8" fillId="13" borderId="0" applyNumberFormat="0" applyBorder="0" applyProtection="0"/>
    <xf numFmtId="0" fontId="8" fillId="13" borderId="0" applyNumberFormat="0" applyBorder="0" applyProtection="0"/>
    <xf numFmtId="0" fontId="8" fillId="13" borderId="0" applyNumberFormat="0" applyBorder="0" applyProtection="0"/>
    <xf numFmtId="0" fontId="8" fillId="13" borderId="0" applyNumberFormat="0" applyBorder="0" applyProtection="0"/>
    <xf numFmtId="0" fontId="8" fillId="13" borderId="0" applyNumberFormat="0" applyBorder="0" applyProtection="0"/>
    <xf numFmtId="0" fontId="8" fillId="13" borderId="0" applyNumberFormat="0" applyBorder="0" applyProtection="0"/>
    <xf numFmtId="0" fontId="8" fillId="13" borderId="0" applyNumberFormat="0" applyBorder="0" applyProtection="0"/>
    <xf numFmtId="0" fontId="8" fillId="16" borderId="0" applyNumberFormat="0" applyBorder="0" applyProtection="0"/>
    <xf numFmtId="0" fontId="8" fillId="16" borderId="0" applyNumberFormat="0" applyBorder="0" applyProtection="0"/>
    <xf numFmtId="0" fontId="8" fillId="16" borderId="0" applyNumberFormat="0" applyBorder="0" applyProtection="0"/>
    <xf numFmtId="0" fontId="8" fillId="16" borderId="0" applyNumberFormat="0" applyBorder="0" applyProtection="0"/>
    <xf numFmtId="0" fontId="8" fillId="16" borderId="0" applyNumberFormat="0" applyBorder="0" applyProtection="0"/>
    <xf numFmtId="0" fontId="8" fillId="16" borderId="0" applyNumberFormat="0" applyBorder="0" applyProtection="0"/>
    <xf numFmtId="0" fontId="8" fillId="15" borderId="0" applyNumberFormat="0" applyBorder="0" applyProtection="0"/>
    <xf numFmtId="0" fontId="8" fillId="6" borderId="0" applyNumberFormat="0" applyBorder="0" applyProtection="0"/>
    <xf numFmtId="0" fontId="8" fillId="6" borderId="0" applyNumberFormat="0" applyBorder="0" applyProtection="0"/>
    <xf numFmtId="0" fontId="8" fillId="6" borderId="0" applyNumberFormat="0" applyBorder="0" applyProtection="0"/>
    <xf numFmtId="0" fontId="8" fillId="6" borderId="0" applyNumberFormat="0" applyBorder="0" applyProtection="0"/>
    <xf numFmtId="0" fontId="8" fillId="6" borderId="0" applyNumberFormat="0" applyBorder="0" applyProtection="0"/>
    <xf numFmtId="0" fontId="8" fillId="6" borderId="0" applyNumberFormat="0" applyBorder="0" applyProtection="0"/>
    <xf numFmtId="0" fontId="8" fillId="6" borderId="0" applyNumberFormat="0" applyBorder="0" applyProtection="0"/>
    <xf numFmtId="0" fontId="8" fillId="6" borderId="0" applyNumberFormat="0" applyBorder="0" applyProtection="0"/>
    <xf numFmtId="0" fontId="8" fillId="6" borderId="0" applyNumberFormat="0" applyBorder="0" applyProtection="0"/>
    <xf numFmtId="0" fontId="8" fillId="15" borderId="0" applyNumberFormat="0" applyBorder="0" applyProtection="0"/>
    <xf numFmtId="0" fontId="8" fillId="15" borderId="0" applyNumberFormat="0" applyBorder="0" applyProtection="0"/>
    <xf numFmtId="0" fontId="8" fillId="15" borderId="0" applyNumberFormat="0" applyBorder="0" applyProtection="0"/>
    <xf numFmtId="0" fontId="8" fillId="15" borderId="0" applyNumberFormat="0" applyBorder="0" applyProtection="0"/>
    <xf numFmtId="0" fontId="8" fillId="15" borderId="0" applyNumberFormat="0" applyBorder="0" applyProtection="0"/>
    <xf numFmtId="0" fontId="8" fillId="15" borderId="0" applyNumberFormat="0" applyBorder="0" applyProtection="0"/>
    <xf numFmtId="0" fontId="8" fillId="12" borderId="0" applyNumberFormat="0" applyBorder="0" applyProtection="0"/>
    <xf numFmtId="0" fontId="8" fillId="12" borderId="0" applyNumberFormat="0" applyBorder="0" applyProtection="0"/>
    <xf numFmtId="0" fontId="8" fillId="12" borderId="0" applyNumberFormat="0" applyBorder="0" applyProtection="0"/>
    <xf numFmtId="0" fontId="8" fillId="12" borderId="0" applyNumberFormat="0" applyBorder="0" applyProtection="0"/>
    <xf numFmtId="0" fontId="8" fillId="12" borderId="0" applyNumberFormat="0" applyBorder="0" applyProtection="0"/>
    <xf numFmtId="0" fontId="8" fillId="12" borderId="0" applyNumberFormat="0" applyBorder="0" applyProtection="0"/>
    <xf numFmtId="0" fontId="8" fillId="12" borderId="0" applyNumberFormat="0" applyBorder="0" applyProtection="0"/>
    <xf numFmtId="0" fontId="8" fillId="12" borderId="0" applyNumberFormat="0" applyBorder="0" applyProtection="0"/>
    <xf numFmtId="0" fontId="8" fillId="12" borderId="0" applyNumberFormat="0" applyBorder="0" applyProtection="0"/>
    <xf numFmtId="0" fontId="8" fillId="16" borderId="0" applyNumberFormat="0" applyBorder="0" applyProtection="0"/>
    <xf numFmtId="0" fontId="8" fillId="14" borderId="0" applyNumberFormat="0" applyBorder="0" applyProtection="0"/>
    <xf numFmtId="0" fontId="8" fillId="14" borderId="0" applyNumberFormat="0" applyBorder="0" applyProtection="0"/>
    <xf numFmtId="0" fontId="8" fillId="14" borderId="0" applyNumberFormat="0" applyBorder="0" applyProtection="0"/>
    <xf numFmtId="0" fontId="8" fillId="14" borderId="0" applyNumberFormat="0" applyBorder="0" applyProtection="0"/>
    <xf numFmtId="0" fontId="8" fillId="14" borderId="0" applyNumberFormat="0" applyBorder="0" applyProtection="0"/>
    <xf numFmtId="0" fontId="8" fillId="14" borderId="0" applyNumberFormat="0" applyBorder="0" applyProtection="0"/>
    <xf numFmtId="0" fontId="8" fillId="14" borderId="0" applyNumberFormat="0" applyBorder="0" applyProtection="0"/>
    <xf numFmtId="0" fontId="8" fillId="14" borderId="0" applyNumberFormat="0" applyBorder="0" applyProtection="0"/>
    <xf numFmtId="0" fontId="8" fillId="14" borderId="0" applyNumberFormat="0" applyBorder="0" applyProtection="0"/>
    <xf numFmtId="0" fontId="8" fillId="16" borderId="0" applyNumberFormat="0" applyBorder="0" applyProtection="0"/>
    <xf numFmtId="0" fontId="8" fillId="16" borderId="0" applyNumberFormat="0" applyBorder="0" applyProtection="0"/>
    <xf numFmtId="0" fontId="8" fillId="16" borderId="0" applyNumberFormat="0" applyBorder="0" applyProtection="0"/>
    <xf numFmtId="0" fontId="8" fillId="16" borderId="0" applyNumberFormat="0" applyBorder="0" applyProtection="0"/>
    <xf numFmtId="0" fontId="8" fillId="16" borderId="0" applyNumberFormat="0" applyBorder="0" applyProtection="0"/>
    <xf numFmtId="0" fontId="8" fillId="16" borderId="0" applyNumberFormat="0" applyBorder="0" applyProtection="0"/>
    <xf numFmtId="0" fontId="11" fillId="2" borderId="1">
      <alignment vertical="center"/>
    </xf>
    <xf numFmtId="0" fontId="12" fillId="17" borderId="0" applyNumberFormat="0" applyBorder="0" applyProtection="0"/>
    <xf numFmtId="0" fontId="12" fillId="9" borderId="0" applyNumberFormat="0" applyBorder="0" applyProtection="0"/>
    <xf numFmtId="0" fontId="12" fillId="13" borderId="0" applyNumberFormat="0" applyBorder="0" applyProtection="0"/>
    <xf numFmtId="0" fontId="12" fillId="18" borderId="0" applyNumberFormat="0" applyBorder="0" applyProtection="0"/>
    <xf numFmtId="0" fontId="12" fillId="19" borderId="0" applyNumberFormat="0" applyBorder="0" applyProtection="0"/>
    <xf numFmtId="0" fontId="12" fillId="20" borderId="0" applyNumberFormat="0" applyBorder="0" applyProtection="0"/>
    <xf numFmtId="0" fontId="13" fillId="19" borderId="0" applyNumberFormat="0" applyBorder="0" applyProtection="0"/>
    <xf numFmtId="0" fontId="12" fillId="17" borderId="0" applyNumberFormat="0" applyBorder="0" applyProtection="0"/>
    <xf numFmtId="0" fontId="12" fillId="17" borderId="0" applyNumberFormat="0" applyBorder="0" applyProtection="0"/>
    <xf numFmtId="0" fontId="12" fillId="17" borderId="0" applyNumberFormat="0" applyBorder="0" applyProtection="0"/>
    <xf numFmtId="0" fontId="12" fillId="21" borderId="0" applyNumberFormat="0" applyBorder="0" applyProtection="0"/>
    <xf numFmtId="0" fontId="12" fillId="17" borderId="0" applyNumberFormat="0" applyBorder="0" applyProtection="0"/>
    <xf numFmtId="0" fontId="13" fillId="19" borderId="0" applyNumberFormat="0" applyBorder="0" applyProtection="0"/>
    <xf numFmtId="0" fontId="13" fillId="19" borderId="0" applyNumberFormat="0" applyBorder="0" applyProtection="0"/>
    <xf numFmtId="0" fontId="13" fillId="19" borderId="0" applyNumberFormat="0" applyBorder="0" applyProtection="0"/>
    <xf numFmtId="0" fontId="13" fillId="19" borderId="0" applyNumberFormat="0" applyBorder="0" applyProtection="0"/>
    <xf numFmtId="0" fontId="13" fillId="19" borderId="0" applyNumberFormat="0" applyBorder="0" applyProtection="0"/>
    <xf numFmtId="0" fontId="13" fillId="19" borderId="0" applyNumberFormat="0" applyBorder="0" applyProtection="0"/>
    <xf numFmtId="0" fontId="13" fillId="9" borderId="0" applyNumberFormat="0" applyBorder="0" applyProtection="0"/>
    <xf numFmtId="0" fontId="12" fillId="9" borderId="0" applyNumberFormat="0" applyBorder="0" applyProtection="0"/>
    <xf numFmtId="0" fontId="12" fillId="9" borderId="0" applyNumberFormat="0" applyBorder="0" applyProtection="0"/>
    <xf numFmtId="0" fontId="12" fillId="9" borderId="0" applyNumberFormat="0" applyBorder="0" applyProtection="0"/>
    <xf numFmtId="0" fontId="12" fillId="22" borderId="0" applyNumberFormat="0" applyBorder="0" applyProtection="0"/>
    <xf numFmtId="0" fontId="12" fillId="9" borderId="0" applyNumberFormat="0" applyBorder="0" applyProtection="0"/>
    <xf numFmtId="0" fontId="13" fillId="9" borderId="0" applyNumberFormat="0" applyBorder="0" applyProtection="0"/>
    <xf numFmtId="0" fontId="13" fillId="9" borderId="0" applyNumberFormat="0" applyBorder="0" applyProtection="0"/>
    <xf numFmtId="0" fontId="13" fillId="9" borderId="0" applyNumberFormat="0" applyBorder="0" applyProtection="0"/>
    <xf numFmtId="0" fontId="13" fillId="9" borderId="0" applyNumberFormat="0" applyBorder="0" applyProtection="0"/>
    <xf numFmtId="0" fontId="13" fillId="9" borderId="0" applyNumberFormat="0" applyBorder="0" applyProtection="0"/>
    <xf numFmtId="0" fontId="13" fillId="9" borderId="0" applyNumberFormat="0" applyBorder="0" applyProtection="0"/>
    <xf numFmtId="0" fontId="13" fillId="16" borderId="0" applyNumberFormat="0" applyBorder="0" applyProtection="0"/>
    <xf numFmtId="0" fontId="12" fillId="13" borderId="0" applyNumberFormat="0" applyBorder="0" applyProtection="0"/>
    <xf numFmtId="0" fontId="12" fillId="13" borderId="0" applyNumberFormat="0" applyBorder="0" applyProtection="0"/>
    <xf numFmtId="0" fontId="12" fillId="13" borderId="0" applyNumberFormat="0" applyBorder="0" applyProtection="0"/>
    <xf numFmtId="0" fontId="12" fillId="23" borderId="0" applyNumberFormat="0" applyBorder="0" applyProtection="0"/>
    <xf numFmtId="0" fontId="12" fillId="13" borderId="0" applyNumberFormat="0" applyBorder="0" applyProtection="0"/>
    <xf numFmtId="0" fontId="13" fillId="16" borderId="0" applyNumberFormat="0" applyBorder="0" applyProtection="0"/>
    <xf numFmtId="0" fontId="13" fillId="16" borderId="0" applyNumberFormat="0" applyBorder="0" applyProtection="0"/>
    <xf numFmtId="0" fontId="13" fillId="16" borderId="0" applyNumberFormat="0" applyBorder="0" applyProtection="0"/>
    <xf numFmtId="0" fontId="13" fillId="16" borderId="0" applyNumberFormat="0" applyBorder="0" applyProtection="0"/>
    <xf numFmtId="0" fontId="13" fillId="16" borderId="0" applyNumberFormat="0" applyBorder="0" applyProtection="0"/>
    <xf numFmtId="0" fontId="13" fillId="16" borderId="0" applyNumberFormat="0" applyBorder="0" applyProtection="0"/>
    <xf numFmtId="0" fontId="13" fillId="15" borderId="0" applyNumberFormat="0" applyBorder="0" applyProtection="0"/>
    <xf numFmtId="0" fontId="12" fillId="18" borderId="0" applyNumberFormat="0" applyBorder="0" applyProtection="0"/>
    <xf numFmtId="0" fontId="12" fillId="18" borderId="0" applyNumberFormat="0" applyBorder="0" applyProtection="0"/>
    <xf numFmtId="0" fontId="12" fillId="18" borderId="0" applyNumberFormat="0" applyBorder="0" applyProtection="0"/>
    <xf numFmtId="0" fontId="12" fillId="24" borderId="0" applyNumberFormat="0" applyBorder="0" applyProtection="0"/>
    <xf numFmtId="0" fontId="12" fillId="18" borderId="0" applyNumberFormat="0" applyBorder="0" applyProtection="0"/>
    <xf numFmtId="0" fontId="13" fillId="15" borderId="0" applyNumberFormat="0" applyBorder="0" applyProtection="0"/>
    <xf numFmtId="0" fontId="13" fillId="15" borderId="0" applyNumberFormat="0" applyBorder="0" applyProtection="0"/>
    <xf numFmtId="0" fontId="13" fillId="15" borderId="0" applyNumberFormat="0" applyBorder="0" applyProtection="0"/>
    <xf numFmtId="0" fontId="13" fillId="15" borderId="0" applyNumberFormat="0" applyBorder="0" applyProtection="0"/>
    <xf numFmtId="0" fontId="13" fillId="15" borderId="0" applyNumberFormat="0" applyBorder="0" applyProtection="0"/>
    <xf numFmtId="0" fontId="13" fillId="15" borderId="0" applyNumberFormat="0" applyBorder="0" applyProtection="0"/>
    <xf numFmtId="0" fontId="13" fillId="19" borderId="0" applyNumberFormat="0" applyBorder="0" applyProtection="0"/>
    <xf numFmtId="0" fontId="12" fillId="19" borderId="0" applyNumberFormat="0" applyBorder="0" applyProtection="0"/>
    <xf numFmtId="0" fontId="12" fillId="19" borderId="0" applyNumberFormat="0" applyBorder="0" applyProtection="0"/>
    <xf numFmtId="0" fontId="12" fillId="19" borderId="0" applyNumberFormat="0" applyBorder="0" applyProtection="0"/>
    <xf numFmtId="0" fontId="12" fillId="25" borderId="0" applyNumberFormat="0" applyBorder="0" applyProtection="0"/>
    <xf numFmtId="0" fontId="12" fillId="19" borderId="0" applyNumberFormat="0" applyBorder="0" applyProtection="0"/>
    <xf numFmtId="0" fontId="13" fillId="19" borderId="0" applyNumberFormat="0" applyBorder="0" applyProtection="0"/>
    <xf numFmtId="0" fontId="13" fillId="19" borderId="0" applyNumberFormat="0" applyBorder="0" applyProtection="0"/>
    <xf numFmtId="0" fontId="13" fillId="19" borderId="0" applyNumberFormat="0" applyBorder="0" applyProtection="0"/>
    <xf numFmtId="0" fontId="13" fillId="19" borderId="0" applyNumberFormat="0" applyBorder="0" applyProtection="0"/>
    <xf numFmtId="0" fontId="13" fillId="19" borderId="0" applyNumberFormat="0" applyBorder="0" applyProtection="0"/>
    <xf numFmtId="0" fontId="13" fillId="19" borderId="0" applyNumberFormat="0" applyBorder="0" applyProtection="0"/>
    <xf numFmtId="0" fontId="13" fillId="9" borderId="0" applyNumberFormat="0" applyBorder="0" applyProtection="0"/>
    <xf numFmtId="0" fontId="12" fillId="20" borderId="0" applyNumberFormat="0" applyBorder="0" applyProtection="0"/>
    <xf numFmtId="0" fontId="12" fillId="20" borderId="0" applyNumberFormat="0" applyBorder="0" applyProtection="0"/>
    <xf numFmtId="0" fontId="12" fillId="20" borderId="0" applyNumberFormat="0" applyBorder="0" applyProtection="0"/>
    <xf numFmtId="0" fontId="12" fillId="26" borderId="0" applyNumberFormat="0" applyBorder="0" applyProtection="0"/>
    <xf numFmtId="0" fontId="12" fillId="20" borderId="0" applyNumberFormat="0" applyBorder="0" applyProtection="0"/>
    <xf numFmtId="0" fontId="13" fillId="9" borderId="0" applyNumberFormat="0" applyBorder="0" applyProtection="0"/>
    <xf numFmtId="0" fontId="13" fillId="9" borderId="0" applyNumberFormat="0" applyBorder="0" applyProtection="0"/>
    <xf numFmtId="0" fontId="13" fillId="9" borderId="0" applyNumberFormat="0" applyBorder="0" applyProtection="0"/>
    <xf numFmtId="0" fontId="13" fillId="9" borderId="0" applyNumberFormat="0" applyBorder="0" applyProtection="0"/>
    <xf numFmtId="0" fontId="13" fillId="9" borderId="0" applyNumberFormat="0" applyBorder="0" applyProtection="0"/>
    <xf numFmtId="0" fontId="13" fillId="9" borderId="0" applyNumberFormat="0" applyBorder="0" applyProtection="0"/>
    <xf numFmtId="167" fontId="2" fillId="0" borderId="0" applyFont="0" applyFill="0" applyBorder="0" applyProtection="0"/>
    <xf numFmtId="168" fontId="2" fillId="0" borderId="0" applyFont="0" applyFill="0" applyBorder="0" applyProtection="0"/>
    <xf numFmtId="0" fontId="12" fillId="27" borderId="0" applyNumberFormat="0" applyBorder="0" applyProtection="0"/>
    <xf numFmtId="0" fontId="8" fillId="28" borderId="0" applyNumberFormat="0" applyBorder="0" applyProtection="0"/>
    <xf numFmtId="0" fontId="8" fillId="28" borderId="0" applyNumberFormat="0" applyBorder="0" applyProtection="0"/>
    <xf numFmtId="0" fontId="8" fillId="28" borderId="0" applyNumberFormat="0" applyBorder="0" applyProtection="0"/>
    <xf numFmtId="0" fontId="8" fillId="28" borderId="0" applyNumberFormat="0" applyBorder="0" applyProtection="0"/>
    <xf numFmtId="0" fontId="8" fillId="28" borderId="0" applyNumberFormat="0" applyBorder="0" applyProtection="0"/>
    <xf numFmtId="0" fontId="8" fillId="28" borderId="0" applyNumberFormat="0" applyBorder="0" applyProtection="0"/>
    <xf numFmtId="0" fontId="12" fillId="29" borderId="0" applyNumberFormat="0" applyBorder="0" applyProtection="0"/>
    <xf numFmtId="0" fontId="12" fillId="30" borderId="0" applyNumberFormat="0" applyBorder="0" applyProtection="0"/>
    <xf numFmtId="0" fontId="12" fillId="31" borderId="0" applyNumberFormat="0" applyBorder="0" applyProtection="0"/>
    <xf numFmtId="0" fontId="12" fillId="32" borderId="0" applyNumberFormat="0" applyBorder="0" applyProtection="0"/>
    <xf numFmtId="0" fontId="8" fillId="33" borderId="0" applyNumberFormat="0" applyBorder="0" applyProtection="0"/>
    <xf numFmtId="0" fontId="8" fillId="33" borderId="0" applyNumberFormat="0" applyBorder="0" applyProtection="0"/>
    <xf numFmtId="0" fontId="8" fillId="33" borderId="0" applyNumberFormat="0" applyBorder="0" applyProtection="0"/>
    <xf numFmtId="0" fontId="8" fillId="34" borderId="0" applyNumberFormat="0" applyBorder="0" applyProtection="0"/>
    <xf numFmtId="0" fontId="8" fillId="34" borderId="0" applyNumberFormat="0" applyBorder="0" applyProtection="0"/>
    <xf numFmtId="0" fontId="8" fillId="34" borderId="0" applyNumberFormat="0" applyBorder="0" applyProtection="0"/>
    <xf numFmtId="0" fontId="12" fillId="35" borderId="0" applyNumberFormat="0" applyBorder="0" applyProtection="0"/>
    <xf numFmtId="0" fontId="12" fillId="36" borderId="0" applyNumberFormat="0" applyBorder="0" applyProtection="0"/>
    <xf numFmtId="0" fontId="12" fillId="36" borderId="0" applyNumberFormat="0" applyBorder="0" applyProtection="0"/>
    <xf numFmtId="0" fontId="12" fillId="37" borderId="0" applyNumberFormat="0" applyBorder="0" applyProtection="0"/>
    <xf numFmtId="0" fontId="8" fillId="33" borderId="0" applyNumberFormat="0" applyBorder="0" applyProtection="0"/>
    <xf numFmtId="0" fontId="8" fillId="33" borderId="0" applyNumberFormat="0" applyBorder="0" applyProtection="0"/>
    <xf numFmtId="0" fontId="8" fillId="33" borderId="0" applyNumberFormat="0" applyBorder="0" applyProtection="0"/>
    <xf numFmtId="0" fontId="8" fillId="38" borderId="0" applyNumberFormat="0" applyBorder="0" applyProtection="0"/>
    <xf numFmtId="0" fontId="8" fillId="38" borderId="0" applyNumberFormat="0" applyBorder="0" applyProtection="0"/>
    <xf numFmtId="0" fontId="8" fillId="38" borderId="0" applyNumberFormat="0" applyBorder="0" applyProtection="0"/>
    <xf numFmtId="0" fontId="12" fillId="34" borderId="0" applyNumberFormat="0" applyBorder="0" applyProtection="0"/>
    <xf numFmtId="0" fontId="12" fillId="35" borderId="0" applyNumberFormat="0" applyBorder="0" applyProtection="0"/>
    <xf numFmtId="0" fontId="12" fillId="39" borderId="0" applyNumberFormat="0" applyBorder="0" applyProtection="0"/>
    <xf numFmtId="0" fontId="12" fillId="18" borderId="0" applyNumberFormat="0" applyBorder="0" applyProtection="0"/>
    <xf numFmtId="0" fontId="8" fillId="28" borderId="0" applyNumberFormat="0" applyBorder="0" applyProtection="0"/>
    <xf numFmtId="0" fontId="8" fillId="28" borderId="0" applyNumberFormat="0" applyBorder="0" applyProtection="0"/>
    <xf numFmtId="0" fontId="8" fillId="28" borderId="0" applyNumberFormat="0" applyBorder="0" applyProtection="0"/>
    <xf numFmtId="0" fontId="8" fillId="34" borderId="0" applyNumberFormat="0" applyBorder="0" applyProtection="0"/>
    <xf numFmtId="0" fontId="8" fillId="34" borderId="0" applyNumberFormat="0" applyBorder="0" applyProtection="0"/>
    <xf numFmtId="0" fontId="8" fillId="34" borderId="0" applyNumberFormat="0" applyBorder="0" applyProtection="0"/>
    <xf numFmtId="0" fontId="12" fillId="34" borderId="0" applyNumberFormat="0" applyBorder="0" applyProtection="0"/>
    <xf numFmtId="0" fontId="12" fillId="30" borderId="0" applyNumberFormat="0" applyBorder="0" applyProtection="0"/>
    <xf numFmtId="0" fontId="12" fillId="31" borderId="0" applyNumberFormat="0" applyBorder="0" applyProtection="0"/>
    <xf numFmtId="0" fontId="12" fillId="19" borderId="0" applyNumberFormat="0" applyBorder="0" applyProtection="0"/>
    <xf numFmtId="0" fontId="8" fillId="40" borderId="0" applyNumberFormat="0" applyBorder="0" applyProtection="0"/>
    <xf numFmtId="0" fontId="8" fillId="40" borderId="0" applyNumberFormat="0" applyBorder="0" applyProtection="0"/>
    <xf numFmtId="0" fontId="8" fillId="40" borderId="0" applyNumberFormat="0" applyBorder="0" applyProtection="0"/>
    <xf numFmtId="0" fontId="8" fillId="28" borderId="0" applyNumberFormat="0" applyBorder="0" applyProtection="0"/>
    <xf numFmtId="0" fontId="8" fillId="28" borderId="0" applyNumberFormat="0" applyBorder="0" applyProtection="0"/>
    <xf numFmtId="0" fontId="8" fillId="28" borderId="0" applyNumberFormat="0" applyBorder="0" applyProtection="0"/>
    <xf numFmtId="0" fontId="12" fillId="29" borderId="0" applyNumberFormat="0" applyBorder="0" applyProtection="0"/>
    <xf numFmtId="0" fontId="12" fillId="41" borderId="0" applyNumberFormat="0" applyBorder="0" applyProtection="0"/>
    <xf numFmtId="0" fontId="12" fillId="25" borderId="0" applyNumberFormat="0" applyBorder="0" applyProtection="0"/>
    <xf numFmtId="0" fontId="12" fillId="42" borderId="0" applyNumberFormat="0" applyBorder="0" applyProtection="0"/>
    <xf numFmtId="0" fontId="8" fillId="33" borderId="0" applyNumberFormat="0" applyBorder="0" applyProtection="0"/>
    <xf numFmtId="0" fontId="8" fillId="33" borderId="0" applyNumberFormat="0" applyBorder="0" applyProtection="0"/>
    <xf numFmtId="0" fontId="8" fillId="33" borderId="0" applyNumberFormat="0" applyBorder="0" applyProtection="0"/>
    <xf numFmtId="0" fontId="8" fillId="43" borderId="0" applyNumberFormat="0" applyBorder="0" applyProtection="0"/>
    <xf numFmtId="0" fontId="8" fillId="43" borderId="0" applyNumberFormat="0" applyBorder="0" applyProtection="0"/>
    <xf numFmtId="0" fontId="8" fillId="43" borderId="0" applyNumberFormat="0" applyBorder="0" applyProtection="0"/>
    <xf numFmtId="0" fontId="12" fillId="43" borderId="0" applyNumberFormat="0" applyBorder="0" applyProtection="0"/>
    <xf numFmtId="0" fontId="12" fillId="44" borderId="0" applyNumberFormat="0" applyBorder="0" applyProtection="0"/>
    <xf numFmtId="0" fontId="12" fillId="26" borderId="0" applyNumberFormat="0" applyBorder="0" applyProtection="0"/>
    <xf numFmtId="169" fontId="2" fillId="0" borderId="0" applyFont="0" applyFill="0" applyBorder="0" applyProtection="0"/>
    <xf numFmtId="0" fontId="14" fillId="4" borderId="0" applyNumberFormat="0" applyBorder="0" applyProtection="0"/>
    <xf numFmtId="0" fontId="15" fillId="45" borderId="0" applyNumberFormat="0" applyBorder="0" applyProtection="0"/>
    <xf numFmtId="0" fontId="16" fillId="0" borderId="2">
      <alignment horizontal="right" vertical="center"/>
    </xf>
    <xf numFmtId="0" fontId="115" fillId="46" borderId="2">
      <alignment horizontal="center" vertical="center"/>
    </xf>
    <xf numFmtId="0" fontId="16" fillId="0" borderId="2">
      <alignment horizontal="right" vertical="center"/>
    </xf>
    <xf numFmtId="0" fontId="115" fillId="46" borderId="2">
      <alignment horizontal="left" vertical="center"/>
    </xf>
    <xf numFmtId="0" fontId="17" fillId="15" borderId="3" applyNumberFormat="0" applyProtection="0"/>
    <xf numFmtId="0" fontId="17" fillId="15" borderId="3" applyNumberFormat="0" applyProtection="0"/>
    <xf numFmtId="0" fontId="18" fillId="47" borderId="3" applyNumberFormat="0" applyProtection="0"/>
    <xf numFmtId="0" fontId="19" fillId="0" borderId="0"/>
    <xf numFmtId="0" fontId="20" fillId="48" borderId="4" applyNumberFormat="0" applyProtection="0"/>
    <xf numFmtId="0" fontId="20" fillId="35" borderId="4" applyNumberFormat="0" applyProtection="0"/>
    <xf numFmtId="0" fontId="115" fillId="46" borderId="2">
      <alignment horizontal="center" vertical="center"/>
    </xf>
    <xf numFmtId="0" fontId="21" fillId="46" borderId="2">
      <alignment horizontal="center" vertical="center"/>
    </xf>
    <xf numFmtId="170" fontId="22" fillId="0" borderId="0" applyFont="0" applyFill="0" applyBorder="0" applyProtection="0"/>
    <xf numFmtId="43" fontId="23" fillId="0" borderId="0" applyFont="0" applyFill="0" applyBorder="0" applyProtection="0"/>
    <xf numFmtId="0" fontId="24" fillId="47" borderId="0" applyNumberFormat="0" applyFill="0">
      <alignment vertical="center"/>
    </xf>
    <xf numFmtId="171" fontId="25" fillId="0" borderId="0" applyFont="0" applyFill="0" applyBorder="0" applyProtection="0"/>
    <xf numFmtId="171" fontId="25" fillId="0" borderId="0" applyFont="0" applyFill="0" applyBorder="0" applyProtection="0"/>
    <xf numFmtId="171" fontId="25" fillId="0" borderId="0" applyFont="0" applyFill="0" applyBorder="0" applyProtection="0"/>
    <xf numFmtId="172" fontId="23" fillId="0" borderId="0" applyFont="0" applyFill="0" applyBorder="0" applyProtection="0"/>
    <xf numFmtId="0" fontId="26" fillId="0" borderId="0">
      <alignment horizontal="left"/>
    </xf>
    <xf numFmtId="0" fontId="16" fillId="8" borderId="2"/>
    <xf numFmtId="173" fontId="27" fillId="0" borderId="0">
      <alignment horizontal="center"/>
    </xf>
    <xf numFmtId="0" fontId="28" fillId="49" borderId="0" applyNumberFormat="0" applyBorder="0" applyProtection="0"/>
    <xf numFmtId="0" fontId="28" fillId="50" borderId="0" applyNumberFormat="0" applyBorder="0" applyProtection="0"/>
    <xf numFmtId="0" fontId="28" fillId="51" borderId="0" applyNumberFormat="0" applyBorder="0" applyProtection="0"/>
    <xf numFmtId="0" fontId="29" fillId="0" borderId="0" applyNumberFormat="0"/>
    <xf numFmtId="0" fontId="30" fillId="0" borderId="0" applyNumberFormat="0"/>
    <xf numFmtId="0" fontId="31" fillId="0" borderId="0" applyNumberFormat="0"/>
    <xf numFmtId="174" fontId="2" fillId="0" borderId="0" applyFont="0" applyFill="0" applyBorder="0" applyProtection="0"/>
    <xf numFmtId="174" fontId="2" fillId="0" borderId="0" applyFont="0" applyFill="0" applyBorder="0" applyProtection="0"/>
    <xf numFmtId="174" fontId="2" fillId="0" borderId="0" applyFont="0" applyFill="0" applyBorder="0" applyProtection="0"/>
    <xf numFmtId="174" fontId="2" fillId="0" borderId="0" applyFont="0" applyFill="0" applyBorder="0" applyProtection="0"/>
    <xf numFmtId="174" fontId="2" fillId="0" borderId="0" applyFont="0" applyFill="0" applyBorder="0" applyProtection="0"/>
    <xf numFmtId="174" fontId="2" fillId="0" borderId="0" applyFont="0" applyFill="0" applyBorder="0" applyProtection="0"/>
    <xf numFmtId="174" fontId="2" fillId="0" borderId="0" applyFont="0" applyFill="0" applyBorder="0" applyProtection="0"/>
    <xf numFmtId="174" fontId="2" fillId="0" borderId="0" applyFont="0" applyFill="0" applyBorder="0" applyProtection="0"/>
    <xf numFmtId="174" fontId="2" fillId="0" borderId="0" applyFont="0" applyFill="0" applyBorder="0" applyProtection="0"/>
    <xf numFmtId="174" fontId="2" fillId="0" borderId="0" applyFont="0" applyFill="0" applyBorder="0" applyProtection="0"/>
    <xf numFmtId="174" fontId="2" fillId="0" borderId="0" applyFont="0" applyFill="0" applyBorder="0" applyProtection="0"/>
    <xf numFmtId="174" fontId="2" fillId="0" borderId="0" applyFont="0" applyFill="0" applyBorder="0" applyProtection="0"/>
    <xf numFmtId="174" fontId="2" fillId="0" borderId="0" applyFont="0" applyFill="0" applyBorder="0" applyProtection="0"/>
    <xf numFmtId="174" fontId="2" fillId="0" borderId="0" applyFont="0" applyFill="0" applyBorder="0" applyProtection="0"/>
    <xf numFmtId="174" fontId="2" fillId="0" borderId="0" applyFont="0" applyFill="0" applyBorder="0" applyProtection="0"/>
    <xf numFmtId="174" fontId="2" fillId="0" borderId="0" applyFont="0" applyFill="0" applyBorder="0" applyProtection="0"/>
    <xf numFmtId="174" fontId="2" fillId="0" borderId="0" applyFont="0" applyFill="0" applyBorder="0" applyProtection="0"/>
    <xf numFmtId="174" fontId="2" fillId="0" borderId="0" applyFont="0" applyFill="0" applyBorder="0" applyProtection="0"/>
    <xf numFmtId="174" fontId="2" fillId="0" borderId="0" applyFont="0" applyFill="0" applyBorder="0" applyProtection="0"/>
    <xf numFmtId="174" fontId="2" fillId="0" borderId="0" applyFont="0" applyFill="0" applyBorder="0" applyProtection="0"/>
    <xf numFmtId="174" fontId="2" fillId="0" borderId="0" applyFont="0" applyFill="0" applyBorder="0" applyProtection="0"/>
    <xf numFmtId="175" fontId="2" fillId="0" borderId="0" applyFill="0" applyBorder="0" applyProtection="0"/>
    <xf numFmtId="0" fontId="32" fillId="0" borderId="0" applyNumberFormat="0" applyFill="0" applyBorder="0" applyProtection="0"/>
    <xf numFmtId="0" fontId="33" fillId="0" borderId="0" applyNumberFormat="0" applyFill="0" applyBorder="0" applyProtection="0">
      <alignment vertical="top" wrapText="1"/>
    </xf>
    <xf numFmtId="0" fontId="34" fillId="0" borderId="0" applyNumberFormat="0" applyFill="0" applyBorder="0" applyProtection="0">
      <alignment vertical="top"/>
      <protection locked="0"/>
    </xf>
    <xf numFmtId="0" fontId="35" fillId="5" borderId="0" applyNumberFormat="0" applyBorder="0" applyProtection="0"/>
    <xf numFmtId="0" fontId="35" fillId="38" borderId="0" applyNumberFormat="0" applyBorder="0" applyProtection="0"/>
    <xf numFmtId="38" fontId="36" fillId="15" borderId="0" applyNumberFormat="0" applyBorder="0" applyProtection="0"/>
    <xf numFmtId="3" fontId="37" fillId="0" borderId="0"/>
    <xf numFmtId="0" fontId="115" fillId="0" borderId="2">
      <alignment horizontal="left" vertical="top"/>
    </xf>
    <xf numFmtId="0" fontId="38" fillId="0" borderId="0">
      <alignment horizontal="left"/>
    </xf>
    <xf numFmtId="0" fontId="39" fillId="0" borderId="1" applyNumberFormat="0" applyProtection="0">
      <alignment horizontal="left" vertical="center"/>
    </xf>
    <xf numFmtId="0" fontId="39" fillId="0" borderId="5">
      <alignment horizontal="left" vertical="center"/>
    </xf>
    <xf numFmtId="0" fontId="40" fillId="0" borderId="6" applyNumberFormat="0" applyFill="0" applyProtection="0"/>
    <xf numFmtId="0" fontId="41" fillId="0" borderId="7" applyNumberFormat="0" applyFill="0" applyProtection="0"/>
    <xf numFmtId="0" fontId="42" fillId="0" borderId="8" applyNumberFormat="0" applyFill="0" applyProtection="0"/>
    <xf numFmtId="0" fontId="43" fillId="0" borderId="8" applyNumberFormat="0" applyFill="0" applyProtection="0"/>
    <xf numFmtId="0" fontId="44" fillId="0" borderId="9" applyNumberFormat="0" applyFill="0" applyProtection="0"/>
    <xf numFmtId="0" fontId="45" fillId="0" borderId="10" applyNumberFormat="0" applyFill="0" applyProtection="0"/>
    <xf numFmtId="0" fontId="44" fillId="0" borderId="0" applyNumberFormat="0" applyFill="0" applyBorder="0" applyProtection="0"/>
    <xf numFmtId="0" fontId="45" fillId="0" borderId="0" applyNumberFormat="0" applyFill="0" applyBorder="0" applyProtection="0"/>
    <xf numFmtId="0" fontId="115" fillId="52" borderId="2"/>
    <xf numFmtId="0" fontId="46" fillId="0" borderId="0" applyNumberFormat="0" applyFill="0" applyBorder="0" applyProtection="0">
      <alignment vertical="top"/>
      <protection locked="0"/>
    </xf>
    <xf numFmtId="0" fontId="2" fillId="0" borderId="0"/>
    <xf numFmtId="0" fontId="47" fillId="8" borderId="3" applyNumberFormat="0" applyProtection="0"/>
    <xf numFmtId="10" fontId="36" fillId="10" borderId="2" applyNumberFormat="0" applyBorder="0" applyProtection="0"/>
    <xf numFmtId="0" fontId="47" fillId="8" borderId="3" applyNumberFormat="0" applyProtection="0"/>
    <xf numFmtId="0" fontId="47" fillId="43" borderId="3" applyNumberFormat="0" applyProtection="0"/>
    <xf numFmtId="0" fontId="47" fillId="53" borderId="3" applyNumberFormat="0" applyProtection="0"/>
    <xf numFmtId="176" fontId="23" fillId="0" borderId="0" applyFont="0" applyFill="0" applyBorder="0" applyProtection="0"/>
    <xf numFmtId="177" fontId="23" fillId="0" borderId="0" applyFont="0" applyFill="0" applyBorder="0" applyProtection="0"/>
    <xf numFmtId="0" fontId="48" fillId="0" borderId="0" applyProtection="0">
      <alignment vertical="center"/>
      <protection locked="0"/>
    </xf>
    <xf numFmtId="0" fontId="48" fillId="0" borderId="0" applyNumberFormat="0" applyProtection="0">
      <alignment vertical="top"/>
      <protection locked="0"/>
    </xf>
    <xf numFmtId="0" fontId="49" fillId="0" borderId="11"/>
    <xf numFmtId="0" fontId="50" fillId="0" borderId="12" applyNumberFormat="0" applyFill="0" applyProtection="0"/>
    <xf numFmtId="0" fontId="51" fillId="0" borderId="12" applyNumberFormat="0" applyFill="0" applyProtection="0"/>
    <xf numFmtId="0" fontId="115" fillId="0" borderId="2">
      <alignment horizontal="left" vertical="center"/>
    </xf>
    <xf numFmtId="0" fontId="16" fillId="54" borderId="2"/>
    <xf numFmtId="0" fontId="16" fillId="0" borderId="2">
      <alignment horizontal="right" vertical="center"/>
    </xf>
    <xf numFmtId="0" fontId="16" fillId="55" borderId="2">
      <alignment horizontal="right" vertical="center"/>
    </xf>
    <xf numFmtId="0" fontId="16" fillId="0" borderId="2">
      <alignment horizontal="center" vertical="center"/>
    </xf>
    <xf numFmtId="0" fontId="21" fillId="56" borderId="2"/>
    <xf numFmtId="0" fontId="21" fillId="57" borderId="2"/>
    <xf numFmtId="0" fontId="21" fillId="0" borderId="2">
      <alignment horizontal="center" vertical="center" wrapText="1"/>
    </xf>
    <xf numFmtId="0" fontId="52" fillId="0" borderId="13"/>
    <xf numFmtId="0" fontId="53" fillId="46" borderId="2">
      <alignment horizontal="left" vertical="center" indent="1"/>
    </xf>
    <xf numFmtId="0" fontId="54" fillId="16" borderId="0" applyNumberFormat="0" applyBorder="0" applyProtection="0"/>
    <xf numFmtId="0" fontId="54" fillId="58" borderId="0" applyNumberFormat="0" applyBorder="0" applyProtection="0"/>
    <xf numFmtId="0" fontId="55" fillId="0" borderId="0">
      <alignment horizontal="left"/>
    </xf>
    <xf numFmtId="0" fontId="22" fillId="0" borderId="0" applyNumberFormat="0" applyFill="0" applyBorder="0" applyProtection="0"/>
    <xf numFmtId="178" fontId="2" fillId="0" borderId="0"/>
    <xf numFmtId="0" fontId="2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23" fillId="0" borderId="0"/>
    <xf numFmtId="0" fontId="56" fillId="0" borderId="0"/>
    <xf numFmtId="0" fontId="57" fillId="0" borderId="0"/>
    <xf numFmtId="0" fontId="58" fillId="0" borderId="0"/>
    <xf numFmtId="0" fontId="1" fillId="0" borderId="0"/>
    <xf numFmtId="0" fontId="8" fillId="10" borderId="14" applyNumberFormat="0" applyFont="0" applyProtection="0"/>
    <xf numFmtId="0" fontId="2" fillId="33" borderId="14" applyNumberFormat="0" applyFont="0" applyProtection="0"/>
    <xf numFmtId="0" fontId="2" fillId="33" borderId="14" applyNumberFormat="0" applyFont="0" applyProtection="0"/>
    <xf numFmtId="0" fontId="2" fillId="33" borderId="14" applyNumberFormat="0" applyFont="0" applyProtection="0"/>
    <xf numFmtId="0" fontId="2" fillId="33" borderId="14" applyNumberFormat="0" applyFont="0" applyProtection="0"/>
    <xf numFmtId="0" fontId="2" fillId="33" borderId="14" applyNumberFormat="0" applyFont="0" applyProtection="0"/>
    <xf numFmtId="0" fontId="2" fillId="33" borderId="14" applyNumberFormat="0" applyFont="0" applyProtection="0"/>
    <xf numFmtId="0" fontId="2" fillId="33" borderId="14" applyNumberFormat="0" applyFont="0" applyProtection="0"/>
    <xf numFmtId="0" fontId="2" fillId="33" borderId="14" applyNumberFormat="0" applyFont="0" applyProtection="0"/>
    <xf numFmtId="0" fontId="2" fillId="33" borderId="14" applyNumberFormat="0" applyFont="0" applyProtection="0"/>
    <xf numFmtId="0" fontId="2" fillId="33" borderId="14" applyNumberFormat="0" applyFont="0" applyProtection="0"/>
    <xf numFmtId="0" fontId="2" fillId="59" borderId="14" applyNumberFormat="0" applyProtection="0"/>
    <xf numFmtId="179" fontId="2" fillId="0" borderId="0" applyFont="0" applyFill="0" applyBorder="0" applyProtection="0"/>
    <xf numFmtId="180" fontId="2" fillId="0" borderId="0" applyFont="0" applyFill="0" applyBorder="0" applyProtection="0"/>
    <xf numFmtId="179" fontId="2" fillId="0" borderId="0" applyFont="0" applyFill="0" applyBorder="0" applyProtection="0"/>
    <xf numFmtId="180" fontId="5" fillId="0" borderId="0" applyFont="0" applyFill="0" applyBorder="0" applyProtection="0"/>
    <xf numFmtId="181" fontId="2" fillId="0" borderId="0" applyFont="0" applyFill="0" applyBorder="0" applyProtection="0"/>
    <xf numFmtId="182" fontId="2" fillId="0" borderId="0" applyFont="0" applyFill="0" applyBorder="0" applyProtection="0"/>
    <xf numFmtId="38" fontId="2" fillId="0" borderId="0" applyFont="0" applyFill="0" applyBorder="0" applyProtection="0"/>
    <xf numFmtId="40" fontId="2" fillId="0" borderId="0" applyFont="0" applyFill="0" applyBorder="0" applyProtection="0"/>
    <xf numFmtId="0" fontId="59" fillId="15" borderId="15" applyNumberFormat="0" applyProtection="0"/>
    <xf numFmtId="0" fontId="59" fillId="47" borderId="15" applyNumberFormat="0" applyProtection="0"/>
    <xf numFmtId="0" fontId="60" fillId="0" borderId="2"/>
    <xf numFmtId="10" fontId="3" fillId="0" borderId="0" applyFont="0" applyFill="0" applyBorder="0" applyProtection="0"/>
    <xf numFmtId="10" fontId="3" fillId="0" borderId="0" applyFont="0" applyFill="0" applyBorder="0" applyProtection="0"/>
    <xf numFmtId="4" fontId="61" fillId="0" borderId="0" applyFont="0" applyFill="0" applyBorder="0" applyProtection="0">
      <alignment horizontal="right" vertical="top" wrapText="1"/>
    </xf>
    <xf numFmtId="0" fontId="62" fillId="0" borderId="0" applyProtection="0"/>
    <xf numFmtId="0" fontId="115" fillId="46" borderId="2">
      <alignment horizontal="left" vertical="center"/>
    </xf>
    <xf numFmtId="0" fontId="21" fillId="46" borderId="2">
      <alignment horizontal="center" vertical="center"/>
    </xf>
    <xf numFmtId="0" fontId="63" fillId="0" borderId="0">
      <alignment horizontal="center" vertical="top"/>
    </xf>
    <xf numFmtId="0" fontId="64" fillId="11" borderId="0">
      <alignment horizontal="right" vertical="center"/>
    </xf>
    <xf numFmtId="0" fontId="65" fillId="11" borderId="0">
      <alignment horizontal="center" vertical="center"/>
    </xf>
    <xf numFmtId="0" fontId="10" fillId="0" borderId="0">
      <alignment horizontal="left" vertical="top"/>
    </xf>
    <xf numFmtId="0" fontId="66" fillId="11" borderId="0">
      <alignment horizontal="left" vertical="center"/>
    </xf>
    <xf numFmtId="0" fontId="63" fillId="11" borderId="0">
      <alignment horizontal="center" vertical="top"/>
    </xf>
    <xf numFmtId="0" fontId="65" fillId="0" borderId="2">
      <alignment horizontal="left" vertical="center"/>
    </xf>
    <xf numFmtId="0" fontId="67" fillId="0" borderId="2">
      <alignment horizontal="left" vertical="center"/>
    </xf>
    <xf numFmtId="0" fontId="10" fillId="11" borderId="0">
      <alignment horizontal="left" vertical="center"/>
    </xf>
    <xf numFmtId="0" fontId="65" fillId="0" borderId="16">
      <alignment horizontal="left" vertical="top"/>
    </xf>
    <xf numFmtId="0" fontId="67" fillId="0" borderId="16">
      <alignment horizontal="left" vertical="top"/>
    </xf>
    <xf numFmtId="0" fontId="67" fillId="0" borderId="16">
      <alignment horizontal="left" vertical="top"/>
    </xf>
    <xf numFmtId="0" fontId="65" fillId="0" borderId="16">
      <alignment horizontal="left" vertical="top"/>
    </xf>
    <xf numFmtId="0" fontId="65" fillId="0" borderId="2">
      <alignment horizontal="left" vertical="top"/>
    </xf>
    <xf numFmtId="0" fontId="67" fillId="0" borderId="2">
      <alignment horizontal="left" vertical="top"/>
    </xf>
    <xf numFmtId="0" fontId="10" fillId="11" borderId="0">
      <alignment horizontal="center"/>
    </xf>
    <xf numFmtId="0" fontId="65" fillId="0" borderId="17">
      <alignment horizontal="center" vertical="center"/>
    </xf>
    <xf numFmtId="0" fontId="67" fillId="0" borderId="17">
      <alignment horizontal="center" vertical="center"/>
    </xf>
    <xf numFmtId="0" fontId="10" fillId="11" borderId="0">
      <alignment horizontal="left" vertical="top"/>
    </xf>
    <xf numFmtId="0" fontId="10" fillId="11" borderId="0">
      <alignment horizontal="right"/>
    </xf>
    <xf numFmtId="0" fontId="65" fillId="0" borderId="18">
      <alignment horizontal="left" vertical="center"/>
    </xf>
    <xf numFmtId="0" fontId="67" fillId="0" borderId="18">
      <alignment horizontal="left" vertical="center"/>
    </xf>
    <xf numFmtId="0" fontId="67" fillId="0" borderId="18">
      <alignment horizontal="left" vertical="center"/>
    </xf>
    <xf numFmtId="0" fontId="65" fillId="0" borderId="18">
      <alignment horizontal="left" vertical="center"/>
    </xf>
    <xf numFmtId="0" fontId="65" fillId="60" borderId="0">
      <alignment horizontal="center" vertical="top"/>
    </xf>
    <xf numFmtId="0" fontId="65" fillId="0" borderId="17">
      <alignment horizontal="left" vertical="center"/>
    </xf>
    <xf numFmtId="0" fontId="67" fillId="0" borderId="17">
      <alignment horizontal="left" vertical="center"/>
    </xf>
    <xf numFmtId="0" fontId="68" fillId="60" borderId="0">
      <alignment horizontal="left" vertical="center"/>
    </xf>
    <xf numFmtId="0" fontId="67" fillId="0" borderId="19">
      <alignment horizontal="left" vertical="center"/>
    </xf>
    <xf numFmtId="0" fontId="65" fillId="11" borderId="0">
      <alignment horizontal="left" vertical="center"/>
    </xf>
    <xf numFmtId="0" fontId="65" fillId="11" borderId="0">
      <alignment horizontal="left" vertical="top"/>
    </xf>
    <xf numFmtId="0" fontId="65" fillId="11" borderId="0">
      <alignment horizontal="left" vertical="center"/>
    </xf>
    <xf numFmtId="0" fontId="10" fillId="11" borderId="0">
      <alignment horizontal="left" vertical="top"/>
    </xf>
    <xf numFmtId="0" fontId="65" fillId="11" borderId="0">
      <alignment horizontal="right" vertical="center"/>
    </xf>
    <xf numFmtId="0" fontId="10" fillId="11" borderId="0">
      <alignment horizontal="left" vertical="top"/>
    </xf>
    <xf numFmtId="0" fontId="65" fillId="11" borderId="0">
      <alignment horizontal="right" vertical="top"/>
    </xf>
    <xf numFmtId="0" fontId="67" fillId="0" borderId="0">
      <alignment horizontal="left" vertical="center"/>
    </xf>
    <xf numFmtId="0" fontId="65" fillId="11" borderId="0">
      <alignment horizontal="left" vertical="center"/>
    </xf>
    <xf numFmtId="0" fontId="69" fillId="11" borderId="0">
      <alignment horizontal="center" vertical="center"/>
    </xf>
    <xf numFmtId="0" fontId="10" fillId="11" borderId="0">
      <alignment horizontal="left" vertical="top"/>
    </xf>
    <xf numFmtId="0" fontId="65" fillId="11" borderId="0">
      <alignment horizontal="left" vertical="center"/>
    </xf>
    <xf numFmtId="0" fontId="10" fillId="11" borderId="0">
      <alignment horizontal="left" vertical="top"/>
    </xf>
    <xf numFmtId="0" fontId="65" fillId="0" borderId="0">
      <alignment horizontal="left" vertical="top"/>
    </xf>
    <xf numFmtId="0" fontId="67" fillId="0" borderId="0">
      <alignment horizontal="left" vertical="top"/>
    </xf>
    <xf numFmtId="0" fontId="70" fillId="11" borderId="0">
      <alignment horizontal="center" vertical="center"/>
    </xf>
    <xf numFmtId="0" fontId="10" fillId="0" borderId="0">
      <alignment horizontal="center" vertical="center"/>
    </xf>
    <xf numFmtId="0" fontId="71" fillId="0" borderId="0">
      <alignment horizontal="center" vertical="center"/>
    </xf>
    <xf numFmtId="0" fontId="72" fillId="11" borderId="0">
      <alignment horizontal="center" vertical="center"/>
    </xf>
    <xf numFmtId="0" fontId="72" fillId="0" borderId="0">
      <alignment horizontal="center" vertical="top"/>
    </xf>
    <xf numFmtId="0" fontId="73" fillId="0" borderId="0">
      <alignment horizontal="center" vertical="top"/>
    </xf>
    <xf numFmtId="0" fontId="72" fillId="0" borderId="0">
      <alignment horizontal="left" vertical="top"/>
    </xf>
    <xf numFmtId="0" fontId="73" fillId="0" borderId="0">
      <alignment horizontal="left" vertical="top"/>
    </xf>
    <xf numFmtId="0" fontId="74" fillId="11" borderId="0">
      <alignment horizontal="left" vertical="top"/>
    </xf>
    <xf numFmtId="0" fontId="65" fillId="0" borderId="2">
      <alignment horizontal="center" vertical="center"/>
    </xf>
    <xf numFmtId="0" fontId="67" fillId="0" borderId="2">
      <alignment horizontal="center" vertical="center"/>
    </xf>
    <xf numFmtId="0" fontId="65" fillId="11" borderId="0">
      <alignment horizontal="center" vertical="top"/>
    </xf>
    <xf numFmtId="0" fontId="65" fillId="0" borderId="2">
      <alignment horizontal="left" vertical="top"/>
    </xf>
    <xf numFmtId="0" fontId="67" fillId="0" borderId="2">
      <alignment horizontal="left" vertical="top"/>
    </xf>
    <xf numFmtId="0" fontId="65" fillId="11" borderId="0">
      <alignment horizontal="center" vertical="center"/>
    </xf>
    <xf numFmtId="0" fontId="65" fillId="0" borderId="2">
      <alignment horizontal="center" vertical="top"/>
    </xf>
    <xf numFmtId="0" fontId="67" fillId="0" borderId="2">
      <alignment horizontal="center" vertical="top"/>
    </xf>
    <xf numFmtId="0" fontId="65" fillId="11" borderId="0">
      <alignment horizontal="left" vertical="top"/>
    </xf>
    <xf numFmtId="4" fontId="10" fillId="16" borderId="15" applyNumberFormat="0" applyProtection="0">
      <alignment vertical="center"/>
    </xf>
    <xf numFmtId="4" fontId="75" fillId="16" borderId="15" applyNumberFormat="0" applyProtection="0">
      <alignment vertical="center"/>
    </xf>
    <xf numFmtId="4" fontId="10" fillId="16" borderId="15" applyNumberFormat="0" applyProtection="0">
      <alignment horizontal="left" vertical="center" indent="1"/>
    </xf>
    <xf numFmtId="4" fontId="10" fillId="16" borderId="15" applyNumberFormat="0" applyProtection="0">
      <alignment horizontal="left" vertical="center" indent="1"/>
    </xf>
    <xf numFmtId="0" fontId="3" fillId="3" borderId="15" applyNumberFormat="0" applyProtection="0">
      <alignment horizontal="left" vertical="center" indent="1"/>
    </xf>
    <xf numFmtId="0" fontId="3" fillId="3" borderId="15" applyNumberFormat="0" applyProtection="0">
      <alignment horizontal="left" vertical="center" indent="1"/>
    </xf>
    <xf numFmtId="0" fontId="3" fillId="3" borderId="15" applyNumberFormat="0" applyProtection="0">
      <alignment horizontal="left" vertical="center" indent="1"/>
    </xf>
    <xf numFmtId="4" fontId="10" fillId="4" borderId="15" applyNumberFormat="0" applyProtection="0">
      <alignment horizontal="right" vertical="center"/>
    </xf>
    <xf numFmtId="4" fontId="10" fillId="9" borderId="15" applyNumberFormat="0" applyProtection="0">
      <alignment horizontal="right" vertical="center"/>
    </xf>
    <xf numFmtId="4" fontId="10" fillId="32" borderId="15" applyNumberFormat="0" applyProtection="0">
      <alignment horizontal="right" vertical="center"/>
    </xf>
    <xf numFmtId="4" fontId="10" fillId="14" borderId="15" applyNumberFormat="0" applyProtection="0">
      <alignment horizontal="right" vertical="center"/>
    </xf>
    <xf numFmtId="4" fontId="10" fillId="20" borderId="15" applyNumberFormat="0" applyProtection="0">
      <alignment horizontal="right" vertical="center"/>
    </xf>
    <xf numFmtId="4" fontId="10" fillId="42" borderId="15" applyNumberFormat="0" applyProtection="0">
      <alignment horizontal="right" vertical="center"/>
    </xf>
    <xf numFmtId="4" fontId="10" fillId="37" borderId="15" applyNumberFormat="0" applyProtection="0">
      <alignment horizontal="right" vertical="center"/>
    </xf>
    <xf numFmtId="4" fontId="10" fillId="61" borderId="15" applyNumberFormat="0" applyProtection="0">
      <alignment horizontal="right" vertical="center"/>
    </xf>
    <xf numFmtId="4" fontId="10" fillId="13" borderId="15" applyNumberFormat="0" applyProtection="0">
      <alignment horizontal="right" vertical="center"/>
    </xf>
    <xf numFmtId="4" fontId="70" fillId="62" borderId="15" applyNumberFormat="0" applyProtection="0">
      <alignment horizontal="left" vertical="center" indent="1"/>
    </xf>
    <xf numFmtId="4" fontId="10" fillId="63" borderId="20" applyNumberFormat="0" applyProtection="0">
      <alignment horizontal="left" vertical="center" indent="1"/>
    </xf>
    <xf numFmtId="4" fontId="76" fillId="64" borderId="0" applyNumberFormat="0" applyProtection="0">
      <alignment horizontal="left" vertical="center" indent="1"/>
    </xf>
    <xf numFmtId="0" fontId="3" fillId="3" borderId="15" applyNumberFormat="0" applyProtection="0">
      <alignment horizontal="left" vertical="center" indent="1"/>
    </xf>
    <xf numFmtId="0" fontId="3" fillId="3" borderId="15" applyNumberFormat="0" applyProtection="0">
      <alignment horizontal="left" vertical="center" indent="1"/>
    </xf>
    <xf numFmtId="0" fontId="3" fillId="3" borderId="15" applyNumberFormat="0" applyProtection="0">
      <alignment horizontal="left" vertical="center" indent="1"/>
    </xf>
    <xf numFmtId="4" fontId="10" fillId="63" borderId="15" applyNumberFormat="0" applyProtection="0">
      <alignment horizontal="left" vertical="center" indent="1"/>
    </xf>
    <xf numFmtId="4" fontId="10" fillId="65" borderId="15" applyNumberFormat="0" applyProtection="0">
      <alignment horizontal="left" vertical="center" indent="1"/>
    </xf>
    <xf numFmtId="0" fontId="3" fillId="65" borderId="15" applyNumberFormat="0" applyProtection="0">
      <alignment horizontal="left" vertical="center" indent="1"/>
    </xf>
    <xf numFmtId="0" fontId="3" fillId="65" borderId="15" applyNumberFormat="0" applyProtection="0">
      <alignment horizontal="left" vertical="center" indent="1"/>
    </xf>
    <xf numFmtId="0" fontId="3" fillId="65" borderId="15" applyNumberFormat="0" applyProtection="0">
      <alignment horizontal="left" vertical="center" indent="1"/>
    </xf>
    <xf numFmtId="0" fontId="3" fillId="65" borderId="15" applyNumberFormat="0" applyProtection="0">
      <alignment horizontal="left" vertical="center" indent="1"/>
    </xf>
    <xf numFmtId="0" fontId="3" fillId="65" borderId="15" applyNumberFormat="0" applyProtection="0">
      <alignment horizontal="left" vertical="center" indent="1"/>
    </xf>
    <xf numFmtId="0" fontId="3" fillId="65" borderId="15" applyNumberFormat="0" applyProtection="0">
      <alignment horizontal="left" vertical="center" indent="1"/>
    </xf>
    <xf numFmtId="0" fontId="3" fillId="48" borderId="15" applyNumberFormat="0" applyProtection="0">
      <alignment horizontal="left" vertical="center" indent="1"/>
    </xf>
    <xf numFmtId="0" fontId="3" fillId="48" borderId="15" applyNumberFormat="0" applyProtection="0">
      <alignment horizontal="left" vertical="center" indent="1"/>
    </xf>
    <xf numFmtId="0" fontId="3" fillId="48" borderId="15" applyNumberFormat="0" applyProtection="0">
      <alignment horizontal="left" vertical="center" indent="1"/>
    </xf>
    <xf numFmtId="0" fontId="3" fillId="48" borderId="15" applyNumberFormat="0" applyProtection="0">
      <alignment horizontal="left" vertical="center" indent="1"/>
    </xf>
    <xf numFmtId="0" fontId="3" fillId="48" borderId="15" applyNumberFormat="0" applyProtection="0">
      <alignment horizontal="left" vertical="center" indent="1"/>
    </xf>
    <xf numFmtId="0" fontId="3" fillId="48" borderId="15" applyNumberFormat="0" applyProtection="0">
      <alignment horizontal="left" vertical="center" indent="1"/>
    </xf>
    <xf numFmtId="0" fontId="3" fillId="15" borderId="15" applyNumberFormat="0" applyProtection="0">
      <alignment horizontal="left" vertical="center" indent="1"/>
    </xf>
    <xf numFmtId="0" fontId="3" fillId="15" borderId="15" applyNumberFormat="0" applyProtection="0">
      <alignment horizontal="left" vertical="center" indent="1"/>
    </xf>
    <xf numFmtId="0" fontId="3" fillId="15" borderId="15" applyNumberFormat="0" applyProtection="0">
      <alignment horizontal="left" vertical="center" indent="1"/>
    </xf>
    <xf numFmtId="0" fontId="3" fillId="15" borderId="15" applyNumberFormat="0" applyProtection="0">
      <alignment horizontal="left" vertical="center" indent="1"/>
    </xf>
    <xf numFmtId="0" fontId="3" fillId="15" borderId="15" applyNumberFormat="0" applyProtection="0">
      <alignment horizontal="left" vertical="center" indent="1"/>
    </xf>
    <xf numFmtId="0" fontId="3" fillId="15" borderId="15" applyNumberFormat="0" applyProtection="0">
      <alignment horizontal="left" vertical="center" indent="1"/>
    </xf>
    <xf numFmtId="0" fontId="3" fillId="3" borderId="15" applyNumberFormat="0" applyProtection="0">
      <alignment horizontal="left" vertical="center" indent="1"/>
    </xf>
    <xf numFmtId="0" fontId="3" fillId="3" borderId="15" applyNumberFormat="0" applyProtection="0">
      <alignment horizontal="left" vertical="center" indent="1"/>
    </xf>
    <xf numFmtId="0" fontId="3" fillId="3" borderId="15" applyNumberFormat="0" applyProtection="0">
      <alignment horizontal="left" vertical="center" indent="1"/>
    </xf>
    <xf numFmtId="0" fontId="3" fillId="3" borderId="15" applyNumberFormat="0" applyProtection="0">
      <alignment horizontal="left" vertical="center" indent="1"/>
    </xf>
    <xf numFmtId="0" fontId="3" fillId="3" borderId="15" applyNumberFormat="0" applyProtection="0">
      <alignment horizontal="left" vertical="center" indent="1"/>
    </xf>
    <xf numFmtId="0" fontId="3" fillId="3" borderId="15" applyNumberFormat="0" applyProtection="0">
      <alignment horizontal="left" vertical="center" indent="1"/>
    </xf>
    <xf numFmtId="4" fontId="10" fillId="10" borderId="15" applyNumberFormat="0" applyProtection="0">
      <alignment vertical="center"/>
    </xf>
    <xf numFmtId="4" fontId="75" fillId="10" borderId="15" applyNumberFormat="0" applyProtection="0">
      <alignment vertical="center"/>
    </xf>
    <xf numFmtId="4" fontId="10" fillId="10" borderId="15" applyNumberFormat="0" applyProtection="0">
      <alignment horizontal="left" vertical="center" indent="1"/>
    </xf>
    <xf numFmtId="4" fontId="10" fillId="10" borderId="15" applyNumberFormat="0" applyProtection="0">
      <alignment horizontal="left" vertical="center" indent="1"/>
    </xf>
    <xf numFmtId="4" fontId="10" fillId="63" borderId="15" applyNumberFormat="0" applyProtection="0">
      <alignment horizontal="right" vertical="center"/>
    </xf>
    <xf numFmtId="4" fontId="75" fillId="63" borderId="15" applyNumberFormat="0" applyProtection="0">
      <alignment horizontal="right" vertical="center"/>
    </xf>
    <xf numFmtId="0" fontId="3" fillId="3" borderId="15" applyNumberFormat="0" applyProtection="0">
      <alignment horizontal="left" vertical="center" indent="1"/>
    </xf>
    <xf numFmtId="0" fontId="3" fillId="3" borderId="15" applyNumberFormat="0" applyProtection="0">
      <alignment horizontal="left" vertical="center" indent="1"/>
    </xf>
    <xf numFmtId="0" fontId="3" fillId="3" borderId="15" applyNumberFormat="0" applyProtection="0">
      <alignment horizontal="left" vertical="center" indent="1"/>
    </xf>
    <xf numFmtId="0" fontId="3" fillId="3" borderId="15" applyNumberFormat="0" applyProtection="0">
      <alignment horizontal="left" vertical="center" indent="1"/>
    </xf>
    <xf numFmtId="0" fontId="3" fillId="3" borderId="15" applyNumberFormat="0" applyProtection="0">
      <alignment horizontal="left" vertical="center" indent="1"/>
    </xf>
    <xf numFmtId="0" fontId="3" fillId="3" borderId="15" applyNumberFormat="0" applyProtection="0">
      <alignment horizontal="left" vertical="center" indent="1"/>
    </xf>
    <xf numFmtId="0" fontId="3" fillId="3" borderId="15" applyNumberFormat="0" applyProtection="0">
      <alignment horizontal="left" vertical="center" indent="1"/>
    </xf>
    <xf numFmtId="0" fontId="77" fillId="0" borderId="0"/>
    <xf numFmtId="4" fontId="78" fillId="63" borderId="15" applyNumberFormat="0" applyProtection="0">
      <alignment horizontal="right" vertical="center"/>
    </xf>
    <xf numFmtId="0" fontId="3" fillId="0" borderId="0" applyNumberFormat="0" applyFont="0" applyFill="0" applyBorder="0" applyProtection="0"/>
    <xf numFmtId="0" fontId="79" fillId="0" borderId="0">
      <alignment horizontal="left"/>
    </xf>
    <xf numFmtId="0" fontId="80" fillId="0" borderId="0" applyNumberFormat="0" applyFill="0" applyBorder="0" applyProtection="0"/>
    <xf numFmtId="0" fontId="3" fillId="0" borderId="0"/>
    <xf numFmtId="183" fontId="1" fillId="0" borderId="0"/>
    <xf numFmtId="0" fontId="52" fillId="0" borderId="0"/>
    <xf numFmtId="0" fontId="81" fillId="0" borderId="0">
      <alignment horizontal="centerContinuous" vertical="center"/>
    </xf>
    <xf numFmtId="0" fontId="82" fillId="34" borderId="21" applyNumberFormat="0" applyFill="0" applyProtection="0">
      <alignment vertical="top"/>
    </xf>
    <xf numFmtId="0" fontId="83" fillId="56" borderId="2">
      <alignment horizontal="center" vertical="center"/>
    </xf>
    <xf numFmtId="0" fontId="83" fillId="57" borderId="2">
      <alignment horizontal="center" vertical="center"/>
    </xf>
    <xf numFmtId="0" fontId="83" fillId="56" borderId="2">
      <alignment horizontal="left" vertical="center"/>
    </xf>
    <xf numFmtId="0" fontId="83" fillId="57" borderId="2">
      <alignment horizontal="left" vertical="center"/>
    </xf>
    <xf numFmtId="0" fontId="84" fillId="0" borderId="0" applyNumberFormat="0" applyFill="0" applyBorder="0" applyProtection="0"/>
    <xf numFmtId="0" fontId="28" fillId="0" borderId="22" applyNumberFormat="0" applyFill="0" applyProtection="0"/>
    <xf numFmtId="0" fontId="28" fillId="0" borderId="22" applyNumberFormat="0" applyFill="0" applyProtection="0"/>
    <xf numFmtId="0" fontId="28" fillId="0" borderId="23" applyNumberFormat="0" applyFill="0" applyProtection="0"/>
    <xf numFmtId="3" fontId="85" fillId="0" borderId="0"/>
    <xf numFmtId="0" fontId="3" fillId="0" borderId="0"/>
    <xf numFmtId="0" fontId="86" fillId="0" borderId="2"/>
    <xf numFmtId="184" fontId="23" fillId="0" borderId="0" applyFont="0" applyFill="0" applyBorder="0" applyProtection="0"/>
    <xf numFmtId="185" fontId="23" fillId="0" borderId="0" applyFont="0" applyFill="0" applyBorder="0" applyProtection="0"/>
    <xf numFmtId="0" fontId="87" fillId="0" borderId="0" applyNumberFormat="0" applyFill="0" applyBorder="0" applyProtection="0"/>
    <xf numFmtId="0" fontId="88" fillId="0" borderId="2">
      <alignment horizontal="center"/>
    </xf>
    <xf numFmtId="0" fontId="88" fillId="0" borderId="2">
      <alignment horizontal="center"/>
    </xf>
    <xf numFmtId="0" fontId="88" fillId="0" borderId="2">
      <alignment horizontal="center"/>
    </xf>
    <xf numFmtId="0" fontId="88" fillId="0" borderId="24">
      <alignment horizontal="center"/>
    </xf>
    <xf numFmtId="0" fontId="2" fillId="0" borderId="0">
      <alignment vertical="top"/>
    </xf>
    <xf numFmtId="0" fontId="13" fillId="19" borderId="0" applyNumberFormat="0" applyBorder="0" applyProtection="0"/>
    <xf numFmtId="0" fontId="12" fillId="27" borderId="0" applyNumberFormat="0" applyBorder="0" applyProtection="0"/>
    <xf numFmtId="0" fontId="89" fillId="66" borderId="0" applyNumberFormat="0" applyBorder="0" applyProtection="0"/>
    <xf numFmtId="0" fontId="12" fillId="27" borderId="0" applyNumberFormat="0" applyBorder="0" applyProtection="0"/>
    <xf numFmtId="0" fontId="12" fillId="67" borderId="0" applyNumberFormat="0" applyBorder="0" applyProtection="0"/>
    <xf numFmtId="0" fontId="12" fillId="67" borderId="0" applyNumberFormat="0" applyBorder="0" applyProtection="0"/>
    <xf numFmtId="0" fontId="12" fillId="27" borderId="0" applyNumberFormat="0" applyBorder="0" applyProtection="0"/>
    <xf numFmtId="0" fontId="13" fillId="19" borderId="0" applyNumberFormat="0" applyBorder="0" applyProtection="0"/>
    <xf numFmtId="0" fontId="13" fillId="19" borderId="0" applyNumberFormat="0" applyBorder="0" applyProtection="0"/>
    <xf numFmtId="0" fontId="13" fillId="19" borderId="0" applyNumberFormat="0" applyBorder="0" applyProtection="0"/>
    <xf numFmtId="0" fontId="13" fillId="19" borderId="0" applyNumberFormat="0" applyBorder="0" applyProtection="0"/>
    <xf numFmtId="0" fontId="13" fillId="19" borderId="0" applyNumberFormat="0" applyBorder="0" applyProtection="0"/>
    <xf numFmtId="0" fontId="13" fillId="19" borderId="0" applyNumberFormat="0" applyBorder="0" applyProtection="0"/>
    <xf numFmtId="0" fontId="13" fillId="32" borderId="0" applyNumberFormat="0" applyBorder="0" applyProtection="0"/>
    <xf numFmtId="0" fontId="12" fillId="32" borderId="0" applyNumberFormat="0" applyBorder="0" applyProtection="0"/>
    <xf numFmtId="0" fontId="12" fillId="68" borderId="0" applyNumberFormat="0" applyBorder="0" applyProtection="0"/>
    <xf numFmtId="0" fontId="12" fillId="32" borderId="0" applyNumberFormat="0" applyBorder="0" applyProtection="0"/>
    <xf numFmtId="0" fontId="12" fillId="68" borderId="0" applyNumberFormat="0" applyBorder="0" applyProtection="0"/>
    <xf numFmtId="0" fontId="12" fillId="32" borderId="0" applyNumberFormat="0" applyBorder="0" applyProtection="0"/>
    <xf numFmtId="0" fontId="13" fillId="32" borderId="0" applyNumberFormat="0" applyBorder="0" applyProtection="0"/>
    <xf numFmtId="0" fontId="13" fillId="32" borderId="0" applyNumberFormat="0" applyBorder="0" applyProtection="0"/>
    <xf numFmtId="0" fontId="13" fillId="32" borderId="0" applyNumberFormat="0" applyBorder="0" applyProtection="0"/>
    <xf numFmtId="0" fontId="13" fillId="32" borderId="0" applyNumberFormat="0" applyBorder="0" applyProtection="0"/>
    <xf numFmtId="0" fontId="13" fillId="32" borderId="0" applyNumberFormat="0" applyBorder="0" applyProtection="0"/>
    <xf numFmtId="0" fontId="13" fillId="32" borderId="0" applyNumberFormat="0" applyBorder="0" applyProtection="0"/>
    <xf numFmtId="0" fontId="13" fillId="37" borderId="0" applyNumberFormat="0" applyBorder="0" applyProtection="0"/>
    <xf numFmtId="0" fontId="12" fillId="37" borderId="0" applyNumberFormat="0" applyBorder="0" applyProtection="0"/>
    <xf numFmtId="0" fontId="12" fillId="69" borderId="0" applyNumberFormat="0" applyBorder="0" applyProtection="0"/>
    <xf numFmtId="0" fontId="12" fillId="37" borderId="0" applyNumberFormat="0" applyBorder="0" applyProtection="0"/>
    <xf numFmtId="0" fontId="12" fillId="69" borderId="0" applyNumberFormat="0" applyBorder="0" applyProtection="0"/>
    <xf numFmtId="0" fontId="12" fillId="37" borderId="0" applyNumberFormat="0" applyBorder="0" applyProtection="0"/>
    <xf numFmtId="0" fontId="13" fillId="37" borderId="0" applyNumberFormat="0" applyBorder="0" applyProtection="0"/>
    <xf numFmtId="0" fontId="13" fillId="37" borderId="0" applyNumberFormat="0" applyBorder="0" applyProtection="0"/>
    <xf numFmtId="0" fontId="13" fillId="37" borderId="0" applyNumberFormat="0" applyBorder="0" applyProtection="0"/>
    <xf numFmtId="0" fontId="13" fillId="37" borderId="0" applyNumberFormat="0" applyBorder="0" applyProtection="0"/>
    <xf numFmtId="0" fontId="13" fillId="37" borderId="0" applyNumberFormat="0" applyBorder="0" applyProtection="0"/>
    <xf numFmtId="0" fontId="13" fillId="37" borderId="0" applyNumberFormat="0" applyBorder="0" applyProtection="0"/>
    <xf numFmtId="0" fontId="13" fillId="64" borderId="0" applyNumberFormat="0" applyBorder="0" applyProtection="0"/>
    <xf numFmtId="0" fontId="12" fillId="18" borderId="0" applyNumberFormat="0" applyBorder="0" applyProtection="0"/>
    <xf numFmtId="0" fontId="12" fillId="24" borderId="0" applyNumberFormat="0" applyBorder="0" applyProtection="0"/>
    <xf numFmtId="0" fontId="12" fillId="18" borderId="0" applyNumberFormat="0" applyBorder="0" applyProtection="0"/>
    <xf numFmtId="0" fontId="12" fillId="24" borderId="0" applyNumberFormat="0" applyBorder="0" applyProtection="0"/>
    <xf numFmtId="0" fontId="12" fillId="18" borderId="0" applyNumberFormat="0" applyBorder="0" applyProtection="0"/>
    <xf numFmtId="0" fontId="13" fillId="64" borderId="0" applyNumberFormat="0" applyBorder="0" applyProtection="0"/>
    <xf numFmtId="0" fontId="13" fillId="64" borderId="0" applyNumberFormat="0" applyBorder="0" applyProtection="0"/>
    <xf numFmtId="0" fontId="13" fillId="64" borderId="0" applyNumberFormat="0" applyBorder="0" applyProtection="0"/>
    <xf numFmtId="0" fontId="13" fillId="64" borderId="0" applyNumberFormat="0" applyBorder="0" applyProtection="0"/>
    <xf numFmtId="0" fontId="13" fillId="64" borderId="0" applyNumberFormat="0" applyBorder="0" applyProtection="0"/>
    <xf numFmtId="0" fontId="13" fillId="64" borderId="0" applyNumberFormat="0" applyBorder="0" applyProtection="0"/>
    <xf numFmtId="0" fontId="13" fillId="19" borderId="0" applyNumberFormat="0" applyBorder="0" applyProtection="0"/>
    <xf numFmtId="0" fontId="12" fillId="19" borderId="0" applyNumberFormat="0" applyBorder="0" applyProtection="0"/>
    <xf numFmtId="0" fontId="12" fillId="25" borderId="0" applyNumberFormat="0" applyBorder="0" applyProtection="0"/>
    <xf numFmtId="0" fontId="12" fillId="19" borderId="0" applyNumberFormat="0" applyBorder="0" applyProtection="0"/>
    <xf numFmtId="0" fontId="12" fillId="25" borderId="0" applyNumberFormat="0" applyBorder="0" applyProtection="0"/>
    <xf numFmtId="0" fontId="12" fillId="19" borderId="0" applyNumberFormat="0" applyBorder="0" applyProtection="0"/>
    <xf numFmtId="0" fontId="13" fillId="19" borderId="0" applyNumberFormat="0" applyBorder="0" applyProtection="0"/>
    <xf numFmtId="0" fontId="13" fillId="19" borderId="0" applyNumberFormat="0" applyBorder="0" applyProtection="0"/>
    <xf numFmtId="0" fontId="13" fillId="19" borderId="0" applyNumberFormat="0" applyBorder="0" applyProtection="0"/>
    <xf numFmtId="0" fontId="13" fillId="19" borderId="0" applyNumberFormat="0" applyBorder="0" applyProtection="0"/>
    <xf numFmtId="0" fontId="13" fillId="19" borderId="0" applyNumberFormat="0" applyBorder="0" applyProtection="0"/>
    <xf numFmtId="0" fontId="13" fillId="19" borderId="0" applyNumberFormat="0" applyBorder="0" applyProtection="0"/>
    <xf numFmtId="0" fontId="13" fillId="42" borderId="0" applyNumberFormat="0" applyBorder="0" applyProtection="0"/>
    <xf numFmtId="0" fontId="12" fillId="42" borderId="0" applyNumberFormat="0" applyBorder="0" applyProtection="0"/>
    <xf numFmtId="0" fontId="12" fillId="70" borderId="0" applyNumberFormat="0" applyBorder="0" applyProtection="0"/>
    <xf numFmtId="0" fontId="12" fillId="42" borderId="0" applyNumberFormat="0" applyBorder="0" applyProtection="0"/>
    <xf numFmtId="0" fontId="12" fillId="70" borderId="0" applyNumberFormat="0" applyBorder="0" applyProtection="0"/>
    <xf numFmtId="0" fontId="12" fillId="42" borderId="0" applyNumberFormat="0" applyBorder="0" applyProtection="0"/>
    <xf numFmtId="0" fontId="13" fillId="42" borderId="0" applyNumberFormat="0" applyBorder="0" applyProtection="0"/>
    <xf numFmtId="0" fontId="13" fillId="42" borderId="0" applyNumberFormat="0" applyBorder="0" applyProtection="0"/>
    <xf numFmtId="0" fontId="13" fillId="42" borderId="0" applyNumberFormat="0" applyBorder="0" applyProtection="0"/>
    <xf numFmtId="0" fontId="13" fillId="42" borderId="0" applyNumberFormat="0" applyBorder="0" applyProtection="0"/>
    <xf numFmtId="0" fontId="13" fillId="42" borderId="0" applyNumberFormat="0" applyBorder="0" applyProtection="0"/>
    <xf numFmtId="0" fontId="13" fillId="42" borderId="0" applyNumberFormat="0" applyBorder="0" applyProtection="0"/>
    <xf numFmtId="0" fontId="47" fillId="16" borderId="3" applyNumberFormat="0" applyProtection="0"/>
    <xf numFmtId="0" fontId="47" fillId="16" borderId="3" applyNumberFormat="0" applyProtection="0"/>
    <xf numFmtId="0" fontId="47" fillId="8" borderId="3" applyNumberFormat="0" applyProtection="0"/>
    <xf numFmtId="0" fontId="47" fillId="8" borderId="3" applyNumberFormat="0" applyProtection="0"/>
    <xf numFmtId="0" fontId="47" fillId="71" borderId="3" applyNumberFormat="0" applyProtection="0"/>
    <xf numFmtId="0" fontId="47" fillId="8" borderId="3" applyNumberFormat="0" applyProtection="0"/>
    <xf numFmtId="0" fontId="47" fillId="8" borderId="3" applyNumberFormat="0" applyProtection="0"/>
    <xf numFmtId="0" fontId="47" fillId="71" borderId="3" applyNumberFormat="0" applyProtection="0"/>
    <xf numFmtId="0" fontId="47" fillId="8" borderId="3" applyNumberFormat="0" applyProtection="0"/>
    <xf numFmtId="0" fontId="47" fillId="8" borderId="3" applyNumberFormat="0" applyProtection="0"/>
    <xf numFmtId="0" fontId="47" fillId="8" borderId="3" applyNumberFormat="0" applyProtection="0"/>
    <xf numFmtId="0" fontId="47" fillId="16" borderId="3" applyNumberFormat="0" applyProtection="0"/>
    <xf numFmtId="0" fontId="47" fillId="16" borderId="3" applyNumberFormat="0" applyProtection="0"/>
    <xf numFmtId="0" fontId="47" fillId="16" borderId="3" applyNumberFormat="0" applyProtection="0"/>
    <xf numFmtId="0" fontId="47" fillId="16" borderId="3" applyNumberFormat="0" applyProtection="0"/>
    <xf numFmtId="0" fontId="47" fillId="16" borderId="3" applyNumberFormat="0" applyProtection="0"/>
    <xf numFmtId="0" fontId="47" fillId="16" borderId="3" applyNumberFormat="0" applyProtection="0"/>
    <xf numFmtId="0" fontId="47" fillId="16" borderId="3" applyNumberFormat="0" applyProtection="0"/>
    <xf numFmtId="0" fontId="47" fillId="16" borderId="3" applyNumberFormat="0" applyProtection="0"/>
    <xf numFmtId="0" fontId="47" fillId="16" borderId="3" applyNumberFormat="0" applyProtection="0"/>
    <xf numFmtId="0" fontId="47" fillId="16" borderId="3" applyNumberFormat="0" applyProtection="0"/>
    <xf numFmtId="0" fontId="47" fillId="16" borderId="3" applyNumberFormat="0" applyProtection="0"/>
    <xf numFmtId="0" fontId="47" fillId="16" borderId="3" applyNumberFormat="0" applyProtection="0"/>
    <xf numFmtId="0" fontId="88" fillId="0" borderId="2">
      <alignment horizontal="center"/>
    </xf>
    <xf numFmtId="0" fontId="88" fillId="0" borderId="2">
      <alignment horizontal="center"/>
    </xf>
    <xf numFmtId="0" fontId="88" fillId="0" borderId="2">
      <alignment horizontal="center"/>
    </xf>
    <xf numFmtId="0" fontId="88" fillId="0" borderId="24">
      <alignment horizontal="center"/>
    </xf>
    <xf numFmtId="0" fontId="88" fillId="0" borderId="0">
      <alignment vertical="top"/>
    </xf>
    <xf numFmtId="0" fontId="59" fillId="11" borderId="15" applyNumberFormat="0" applyProtection="0"/>
    <xf numFmtId="0" fontId="59" fillId="15" borderId="15" applyNumberFormat="0" applyProtection="0"/>
    <xf numFmtId="0" fontId="59" fillId="72" borderId="15" applyNumberFormat="0" applyProtection="0"/>
    <xf numFmtId="0" fontId="59" fillId="15" borderId="15" applyNumberFormat="0" applyProtection="0"/>
    <xf numFmtId="0" fontId="59" fillId="15" borderId="15" applyNumberFormat="0" applyProtection="0"/>
    <xf numFmtId="0" fontId="59" fillId="15" borderId="15" applyNumberFormat="0" applyProtection="0"/>
    <xf numFmtId="0" fontId="59" fillId="11" borderId="15" applyNumberFormat="0" applyProtection="0"/>
    <xf numFmtId="0" fontId="59" fillId="11" borderId="15" applyNumberFormat="0" applyProtection="0"/>
    <xf numFmtId="0" fontId="59" fillId="11" borderId="15" applyNumberFormat="0" applyProtection="0"/>
    <xf numFmtId="0" fontId="59" fillId="11" borderId="15" applyNumberFormat="0" applyProtection="0"/>
    <xf numFmtId="0" fontId="59" fillId="11" borderId="15" applyNumberFormat="0" applyProtection="0"/>
    <xf numFmtId="0" fontId="59" fillId="11" borderId="15" applyNumberFormat="0" applyProtection="0"/>
    <xf numFmtId="0" fontId="17" fillId="11" borderId="3" applyNumberFormat="0" applyProtection="0"/>
    <xf numFmtId="0" fontId="17" fillId="11" borderId="3" applyNumberFormat="0" applyProtection="0"/>
    <xf numFmtId="0" fontId="17" fillId="15" borderId="3" applyNumberFormat="0" applyProtection="0"/>
    <xf numFmtId="0" fontId="17" fillId="15" borderId="3" applyNumberFormat="0" applyProtection="0"/>
    <xf numFmtId="0" fontId="17" fillId="72" borderId="3" applyNumberFormat="0" applyProtection="0"/>
    <xf numFmtId="0" fontId="17" fillId="15" borderId="3" applyNumberFormat="0" applyProtection="0"/>
    <xf numFmtId="0" fontId="17" fillId="15" borderId="3" applyNumberFormat="0" applyProtection="0"/>
    <xf numFmtId="0" fontId="17" fillId="72" borderId="3" applyNumberFormat="0" applyProtection="0"/>
    <xf numFmtId="0" fontId="17" fillId="15" borderId="3" applyNumberFormat="0" applyProtection="0"/>
    <xf numFmtId="0" fontId="17" fillId="15" borderId="3" applyNumberFormat="0" applyProtection="0"/>
    <xf numFmtId="0" fontId="17" fillId="15" borderId="3" applyNumberFormat="0" applyProtection="0"/>
    <xf numFmtId="0" fontId="17" fillId="11" borderId="3" applyNumberFormat="0" applyProtection="0"/>
    <xf numFmtId="0" fontId="17" fillId="11" borderId="3" applyNumberFormat="0" applyProtection="0"/>
    <xf numFmtId="0" fontId="17" fillId="11" borderId="3" applyNumberFormat="0" applyProtection="0"/>
    <xf numFmtId="0" fontId="17" fillId="11" borderId="3" applyNumberFormat="0" applyProtection="0"/>
    <xf numFmtId="0" fontId="17" fillId="11" borderId="3" applyNumberFormat="0" applyProtection="0"/>
    <xf numFmtId="0" fontId="17" fillId="11" borderId="3" applyNumberFormat="0" applyProtection="0"/>
    <xf numFmtId="0" fontId="17" fillId="11" borderId="3" applyNumberFormat="0" applyProtection="0"/>
    <xf numFmtId="0" fontId="17" fillId="11" borderId="3" applyNumberFormat="0" applyProtection="0"/>
    <xf numFmtId="0" fontId="17" fillId="11" borderId="3" applyNumberFormat="0" applyProtection="0"/>
    <xf numFmtId="0" fontId="17" fillId="11" borderId="3" applyNumberFormat="0" applyProtection="0"/>
    <xf numFmtId="0" fontId="17" fillId="11" borderId="3" applyNumberFormat="0" applyProtection="0"/>
    <xf numFmtId="0" fontId="17" fillId="11" borderId="3" applyNumberFormat="0" applyProtection="0"/>
    <xf numFmtId="0" fontId="90" fillId="0" borderId="0" applyNumberFormat="0" applyFill="0" applyBorder="0" applyProtection="0">
      <alignment vertical="top"/>
      <protection locked="0"/>
    </xf>
    <xf numFmtId="0" fontId="91" fillId="0" borderId="0" applyNumberFormat="0" applyFill="0" applyBorder="0" applyProtection="0">
      <alignment vertical="top"/>
      <protection locked="0"/>
    </xf>
    <xf numFmtId="0" fontId="91" fillId="0" borderId="0" applyNumberFormat="0" applyFill="0" applyBorder="0" applyProtection="0">
      <alignment vertical="top"/>
      <protection locked="0"/>
    </xf>
    <xf numFmtId="0" fontId="91" fillId="0" borderId="0" applyNumberFormat="0" applyFill="0" applyBorder="0" applyProtection="0">
      <alignment vertical="top"/>
      <protection locked="0"/>
    </xf>
    <xf numFmtId="0" fontId="91" fillId="0" borderId="0" applyNumberFormat="0" applyFill="0" applyBorder="0" applyProtection="0">
      <alignment vertical="top"/>
      <protection locked="0"/>
    </xf>
    <xf numFmtId="0" fontId="91" fillId="0" borderId="0" applyNumberFormat="0" applyFill="0" applyBorder="0" applyProtection="0">
      <alignment vertical="top"/>
      <protection locked="0"/>
    </xf>
    <xf numFmtId="0" fontId="90" fillId="0" borderId="0" applyNumberFormat="0" applyFill="0" applyBorder="0" applyProtection="0">
      <alignment vertical="top"/>
      <protection locked="0"/>
    </xf>
    <xf numFmtId="0" fontId="90" fillId="0" borderId="0" applyNumberFormat="0" applyFill="0" applyBorder="0" applyProtection="0">
      <alignment vertical="top"/>
      <protection locked="0"/>
    </xf>
    <xf numFmtId="0" fontId="90" fillId="0" borderId="0" applyNumberFormat="0" applyFill="0" applyBorder="0" applyProtection="0">
      <alignment vertical="top"/>
      <protection locked="0"/>
    </xf>
    <xf numFmtId="0" fontId="90" fillId="0" borderId="0" applyNumberFormat="0" applyFill="0" applyBorder="0" applyProtection="0">
      <alignment vertical="top"/>
      <protection locked="0"/>
    </xf>
    <xf numFmtId="186" fontId="22" fillId="0" borderId="0" applyFill="0" applyBorder="0" applyProtection="0"/>
    <xf numFmtId="187" fontId="92" fillId="0" borderId="0" applyFont="0" applyFill="0" applyBorder="0" applyProtection="0"/>
    <xf numFmtId="187" fontId="92" fillId="0" borderId="0" applyFont="0" applyFill="0" applyBorder="0" applyProtection="0"/>
    <xf numFmtId="188" fontId="2" fillId="0" borderId="0" applyFill="0" applyBorder="0" applyProtection="0"/>
    <xf numFmtId="189" fontId="2" fillId="0" borderId="0" applyFont="0" applyFill="0" applyBorder="0" applyProtection="0"/>
    <xf numFmtId="189" fontId="8" fillId="0" borderId="0" applyFont="0" applyFill="0" applyBorder="0" applyProtection="0"/>
    <xf numFmtId="189" fontId="8" fillId="0" borderId="0" applyFont="0" applyFill="0" applyBorder="0" applyProtection="0"/>
    <xf numFmtId="189" fontId="8" fillId="0" borderId="0" applyFont="0" applyFill="0" applyBorder="0" applyProtection="0"/>
    <xf numFmtId="189" fontId="8" fillId="0" borderId="0" applyFont="0" applyFill="0" applyBorder="0" applyProtection="0"/>
    <xf numFmtId="189" fontId="8" fillId="0" borderId="0" applyFont="0" applyFill="0" applyBorder="0" applyProtection="0"/>
    <xf numFmtId="189" fontId="2" fillId="0" borderId="0" applyFont="0" applyFill="0" applyBorder="0" applyProtection="0"/>
    <xf numFmtId="189" fontId="8" fillId="0" borderId="0" applyFont="0" applyFill="0" applyBorder="0" applyProtection="0"/>
    <xf numFmtId="0" fontId="41" fillId="0" borderId="25" applyNumberFormat="0" applyFill="0" applyProtection="0"/>
    <xf numFmtId="0" fontId="40" fillId="0" borderId="6" applyNumberFormat="0" applyFill="0" applyProtection="0"/>
    <xf numFmtId="0" fontId="40" fillId="0" borderId="6" applyNumberFormat="0" applyFill="0" applyProtection="0"/>
    <xf numFmtId="0" fontId="40" fillId="0" borderId="6" applyNumberFormat="0" applyFill="0" applyProtection="0"/>
    <xf numFmtId="0" fontId="40" fillId="0" borderId="6" applyNumberFormat="0" applyFill="0" applyProtection="0"/>
    <xf numFmtId="0" fontId="40" fillId="0" borderId="6" applyNumberFormat="0" applyFill="0" applyProtection="0"/>
    <xf numFmtId="0" fontId="41" fillId="0" borderId="25" applyNumberFormat="0" applyFill="0" applyProtection="0"/>
    <xf numFmtId="0" fontId="41" fillId="0" borderId="25" applyNumberFormat="0" applyFill="0" applyProtection="0"/>
    <xf numFmtId="0" fontId="41" fillId="0" borderId="25" applyNumberFormat="0" applyFill="0" applyProtection="0"/>
    <xf numFmtId="0" fontId="41" fillId="0" borderId="25" applyNumberFormat="0" applyFill="0" applyProtection="0"/>
    <xf numFmtId="0" fontId="41" fillId="0" borderId="25" applyNumberFormat="0" applyFill="0" applyProtection="0"/>
    <xf numFmtId="0" fontId="41" fillId="0" borderId="25" applyNumberFormat="0" applyFill="0" applyProtection="0"/>
    <xf numFmtId="0" fontId="43" fillId="0" borderId="8" applyNumberFormat="0" applyFill="0" applyProtection="0"/>
    <xf numFmtId="0" fontId="42" fillId="0" borderId="8" applyNumberFormat="0" applyFill="0" applyProtection="0"/>
    <xf numFmtId="0" fontId="42" fillId="0" borderId="8" applyNumberFormat="0" applyFill="0" applyProtection="0"/>
    <xf numFmtId="0" fontId="42" fillId="0" borderId="8" applyNumberFormat="0" applyFill="0" applyProtection="0"/>
    <xf numFmtId="0" fontId="42" fillId="0" borderId="8" applyNumberFormat="0" applyFill="0" applyProtection="0"/>
    <xf numFmtId="0" fontId="42" fillId="0" borderId="8" applyNumberFormat="0" applyFill="0" applyProtection="0"/>
    <xf numFmtId="0" fontId="43" fillId="0" borderId="8" applyNumberFormat="0" applyFill="0" applyProtection="0"/>
    <xf numFmtId="0" fontId="43" fillId="0" borderId="8" applyNumberFormat="0" applyFill="0" applyProtection="0"/>
    <xf numFmtId="0" fontId="43" fillId="0" borderId="8" applyNumberFormat="0" applyFill="0" applyProtection="0"/>
    <xf numFmtId="0" fontId="43" fillId="0" borderId="8" applyNumberFormat="0" applyFill="0" applyProtection="0"/>
    <xf numFmtId="0" fontId="43" fillId="0" borderId="8" applyNumberFormat="0" applyFill="0" applyProtection="0"/>
    <xf numFmtId="0" fontId="43" fillId="0" borderId="8" applyNumberFormat="0" applyFill="0" applyProtection="0"/>
    <xf numFmtId="0" fontId="45" fillId="0" borderId="26" applyNumberFormat="0" applyFill="0" applyProtection="0"/>
    <xf numFmtId="0" fontId="44" fillId="0" borderId="9" applyNumberFormat="0" applyFill="0" applyProtection="0"/>
    <xf numFmtId="0" fontId="44" fillId="0" borderId="9" applyNumberFormat="0" applyFill="0" applyProtection="0"/>
    <xf numFmtId="0" fontId="44" fillId="0" borderId="9" applyNumberFormat="0" applyFill="0" applyProtection="0"/>
    <xf numFmtId="0" fontId="44" fillId="0" borderId="9" applyNumberFormat="0" applyFill="0" applyProtection="0"/>
    <xf numFmtId="0" fontId="44" fillId="0" borderId="9" applyNumberFormat="0" applyFill="0" applyProtection="0"/>
    <xf numFmtId="0" fontId="45" fillId="0" borderId="26" applyNumberFormat="0" applyFill="0" applyProtection="0"/>
    <xf numFmtId="0" fontId="45" fillId="0" borderId="26" applyNumberFormat="0" applyFill="0" applyProtection="0"/>
    <xf numFmtId="0" fontId="45" fillId="0" borderId="26" applyNumberFormat="0" applyFill="0" applyProtection="0"/>
    <xf numFmtId="0" fontId="45" fillId="0" borderId="26" applyNumberFormat="0" applyFill="0" applyProtection="0"/>
    <xf numFmtId="0" fontId="45" fillId="0" borderId="26" applyNumberFormat="0" applyFill="0" applyProtection="0"/>
    <xf numFmtId="0" fontId="45" fillId="0" borderId="26" applyNumberFormat="0" applyFill="0" applyProtection="0"/>
    <xf numFmtId="0" fontId="44" fillId="0" borderId="0" applyNumberFormat="0" applyFill="0" applyBorder="0" applyProtection="0"/>
    <xf numFmtId="0" fontId="44" fillId="0" borderId="0" applyNumberFormat="0" applyFill="0" applyBorder="0" applyProtection="0"/>
    <xf numFmtId="0" fontId="44" fillId="0" borderId="0" applyNumberFormat="0" applyFill="0" applyBorder="0" applyProtection="0"/>
    <xf numFmtId="0" fontId="45" fillId="0" borderId="0" applyNumberFormat="0" applyFill="0" applyBorder="0" applyProtection="0"/>
    <xf numFmtId="0" fontId="44" fillId="0" borderId="0" applyNumberFormat="0" applyFill="0" applyBorder="0" applyProtection="0"/>
    <xf numFmtId="0" fontId="93" fillId="15" borderId="5">
      <alignment horizontal="left" vertical="center"/>
    </xf>
    <xf numFmtId="0" fontId="94" fillId="0" borderId="0" applyNumberFormat="0" applyFill="0" applyBorder="0" applyProtection="0"/>
    <xf numFmtId="0" fontId="39" fillId="0" borderId="0" applyNumberFormat="0" applyFill="0" applyBorder="0" applyProtection="0"/>
    <xf numFmtId="0" fontId="28" fillId="0" borderId="27" applyNumberFormat="0" applyFill="0" applyProtection="0"/>
    <xf numFmtId="0" fontId="28" fillId="0" borderId="27" applyNumberFormat="0" applyFill="0" applyProtection="0"/>
    <xf numFmtId="0" fontId="28" fillId="0" borderId="22" applyNumberFormat="0" applyFill="0" applyProtection="0"/>
    <xf numFmtId="0" fontId="28" fillId="0" borderId="22" applyNumberFormat="0" applyFill="0" applyProtection="0"/>
    <xf numFmtId="0" fontId="28" fillId="0" borderId="22" applyNumberFormat="0" applyFill="0" applyProtection="0"/>
    <xf numFmtId="0" fontId="28" fillId="0" borderId="22" applyNumberFormat="0" applyFill="0" applyProtection="0"/>
    <xf numFmtId="0" fontId="28" fillId="0" borderId="22" applyNumberFormat="0" applyFill="0" applyProtection="0"/>
    <xf numFmtId="0" fontId="28" fillId="0" borderId="22" applyNumberFormat="0" applyFill="0" applyProtection="0"/>
    <xf numFmtId="0" fontId="28" fillId="0" borderId="22" applyNumberFormat="0" applyFill="0" applyProtection="0"/>
    <xf numFmtId="0" fontId="28" fillId="0" borderId="22" applyNumberFormat="0" applyFill="0" applyProtection="0"/>
    <xf numFmtId="0" fontId="28" fillId="0" borderId="22" applyNumberFormat="0" applyFill="0" applyProtection="0"/>
    <xf numFmtId="0" fontId="28" fillId="0" borderId="27" applyNumberFormat="0" applyFill="0" applyProtection="0"/>
    <xf numFmtId="0" fontId="28" fillId="0" borderId="27" applyNumberFormat="0" applyFill="0" applyProtection="0"/>
    <xf numFmtId="0" fontId="28" fillId="0" borderId="27" applyNumberFormat="0" applyFill="0" applyProtection="0"/>
    <xf numFmtId="0" fontId="28" fillId="0" borderId="27" applyNumberFormat="0" applyFill="0" applyProtection="0"/>
    <xf numFmtId="0" fontId="28" fillId="0" borderId="27" applyNumberFormat="0" applyFill="0" applyProtection="0"/>
    <xf numFmtId="0" fontId="28" fillId="0" borderId="27" applyNumberFormat="0" applyFill="0" applyProtection="0"/>
    <xf numFmtId="0" fontId="28" fillId="0" borderId="27" applyNumberFormat="0" applyFill="0" applyProtection="0"/>
    <xf numFmtId="0" fontId="28" fillId="0" borderId="27" applyNumberFormat="0" applyFill="0" applyProtection="0"/>
    <xf numFmtId="0" fontId="28" fillId="0" borderId="27" applyNumberFormat="0" applyFill="0" applyProtection="0"/>
    <xf numFmtId="0" fontId="28" fillId="0" borderId="27" applyNumberFormat="0" applyFill="0" applyProtection="0"/>
    <xf numFmtId="0" fontId="28" fillId="0" borderId="27" applyNumberFormat="0" applyFill="0" applyProtection="0"/>
    <xf numFmtId="0" fontId="28" fillId="0" borderId="27" applyNumberFormat="0" applyFill="0" applyProtection="0"/>
    <xf numFmtId="0" fontId="88" fillId="0" borderId="0">
      <alignment horizontal="right" vertical="top" wrapText="1"/>
    </xf>
    <xf numFmtId="0" fontId="88" fillId="0" borderId="0"/>
    <xf numFmtId="0" fontId="2" fillId="0" borderId="0"/>
    <xf numFmtId="0" fontId="2" fillId="0" borderId="0"/>
    <xf numFmtId="0" fontId="88" fillId="0" borderId="0"/>
    <xf numFmtId="0" fontId="88" fillId="0" borderId="0"/>
    <xf numFmtId="0" fontId="2" fillId="0" borderId="0"/>
    <xf numFmtId="0" fontId="22" fillId="0" borderId="28" applyNumberFormat="0" applyFill="0" applyProtection="0"/>
    <xf numFmtId="0" fontId="2" fillId="0" borderId="0"/>
    <xf numFmtId="0" fontId="88" fillId="0" borderId="0"/>
    <xf numFmtId="0" fontId="95" fillId="48" borderId="4" applyNumberFormat="0" applyProtection="0"/>
    <xf numFmtId="0" fontId="20" fillId="48" borderId="4" applyNumberFormat="0" applyProtection="0"/>
    <xf numFmtId="0" fontId="20" fillId="39" borderId="4" applyNumberFormat="0" applyProtection="0"/>
    <xf numFmtId="0" fontId="20" fillId="48" borderId="4" applyNumberFormat="0" applyProtection="0"/>
    <xf numFmtId="0" fontId="20" fillId="48" borderId="4" applyNumberFormat="0" applyProtection="0"/>
    <xf numFmtId="0" fontId="20" fillId="48" borderId="4" applyNumberFormat="0" applyProtection="0"/>
    <xf numFmtId="0" fontId="95" fillId="48" borderId="4" applyNumberFormat="0" applyProtection="0"/>
    <xf numFmtId="0" fontId="95" fillId="48" borderId="4" applyNumberFormat="0" applyProtection="0"/>
    <xf numFmtId="0" fontId="95" fillId="48" borderId="4" applyNumberFormat="0" applyProtection="0"/>
    <xf numFmtId="0" fontId="95" fillId="48" borderId="4" applyNumberFormat="0" applyProtection="0"/>
    <xf numFmtId="0" fontId="95" fillId="48" borderId="4" applyNumberFormat="0" applyProtection="0"/>
    <xf numFmtId="0" fontId="95" fillId="48" borderId="4" applyNumberFormat="0" applyProtection="0"/>
    <xf numFmtId="0" fontId="88" fillId="0" borderId="2">
      <alignment horizontal="center" wrapText="1"/>
    </xf>
    <xf numFmtId="0" fontId="88" fillId="0" borderId="2">
      <alignment horizontal="center"/>
    </xf>
    <xf numFmtId="0" fontId="88" fillId="0" borderId="2">
      <alignment horizontal="center" wrapText="1"/>
    </xf>
    <xf numFmtId="0" fontId="88" fillId="0" borderId="24">
      <alignment horizontal="center"/>
    </xf>
    <xf numFmtId="0" fontId="2" fillId="0" borderId="0">
      <alignment vertical="top"/>
    </xf>
    <xf numFmtId="0" fontId="2" fillId="0" borderId="0"/>
    <xf numFmtId="0" fontId="84" fillId="0" borderId="0" applyNumberFormat="0" applyFill="0" applyBorder="0" applyProtection="0"/>
    <xf numFmtId="0" fontId="84" fillId="0" borderId="0" applyNumberFormat="0" applyFill="0" applyBorder="0" applyProtection="0"/>
    <xf numFmtId="0" fontId="96" fillId="0" borderId="0" applyNumberFormat="0" applyFill="0" applyBorder="0" applyProtection="0"/>
    <xf numFmtId="0" fontId="80" fillId="0" borderId="0" applyNumberFormat="0" applyFill="0" applyBorder="0" applyProtection="0"/>
    <xf numFmtId="0" fontId="84" fillId="0" borderId="0" applyNumberFormat="0" applyFill="0" applyBorder="0" applyProtection="0"/>
    <xf numFmtId="0" fontId="54" fillId="73" borderId="0" applyNumberFormat="0" applyBorder="0" applyProtection="0"/>
    <xf numFmtId="0" fontId="54" fillId="16" borderId="0" applyNumberFormat="0" applyBorder="0" applyProtection="0"/>
    <xf numFmtId="0" fontId="54" fillId="73" borderId="0" applyNumberFormat="0" applyBorder="0" applyProtection="0"/>
    <xf numFmtId="0" fontId="54" fillId="16" borderId="0" applyNumberFormat="0" applyBorder="0" applyProtection="0"/>
    <xf numFmtId="0" fontId="54" fillId="16" borderId="0" applyNumberFormat="0" applyBorder="0" applyProtection="0"/>
    <xf numFmtId="0" fontId="2" fillId="0" borderId="0"/>
    <xf numFmtId="0" fontId="88" fillId="0" borderId="2">
      <alignment horizontal="center"/>
    </xf>
    <xf numFmtId="0" fontId="3" fillId="0" borderId="0"/>
    <xf numFmtId="0" fontId="92" fillId="0" borderId="0"/>
    <xf numFmtId="0" fontId="9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92" fillId="0" borderId="0"/>
    <xf numFmtId="0" fontId="92" fillId="0" borderId="0"/>
    <xf numFmtId="0" fontId="9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2" fillId="0" borderId="0"/>
    <xf numFmtId="0" fontId="92" fillId="0" borderId="0"/>
    <xf numFmtId="0" fontId="3" fillId="0" borderId="0"/>
    <xf numFmtId="0" fontId="2" fillId="0" borderId="0"/>
    <xf numFmtId="0" fontId="92" fillId="0" borderId="0"/>
    <xf numFmtId="0" fontId="115" fillId="0" borderId="0"/>
    <xf numFmtId="0" fontId="8" fillId="0" borderId="0"/>
    <xf numFmtId="0" fontId="115" fillId="0" borderId="0"/>
    <xf numFmtId="0" fontId="2" fillId="0" borderId="0"/>
    <xf numFmtId="0" fontId="115" fillId="0" borderId="0"/>
    <xf numFmtId="0" fontId="8" fillId="0" borderId="0"/>
    <xf numFmtId="0" fontId="115" fillId="0" borderId="0"/>
    <xf numFmtId="0" fontId="115" fillId="0" borderId="0"/>
    <xf numFmtId="0" fontId="2" fillId="0" borderId="0"/>
    <xf numFmtId="0" fontId="92" fillId="0" borderId="0"/>
    <xf numFmtId="0" fontId="2" fillId="0" borderId="0"/>
    <xf numFmtId="0" fontId="2" fillId="0" borderId="0"/>
    <xf numFmtId="0" fontId="115" fillId="0" borderId="0"/>
    <xf numFmtId="0" fontId="8" fillId="0" borderId="0"/>
    <xf numFmtId="0" fontId="8" fillId="0" borderId="0"/>
    <xf numFmtId="0" fontId="3" fillId="0" borderId="0"/>
    <xf numFmtId="0" fontId="97" fillId="0" borderId="0"/>
    <xf numFmtId="0" fontId="115" fillId="0" borderId="0"/>
    <xf numFmtId="0" fontId="92" fillId="0" borderId="0"/>
    <xf numFmtId="0" fontId="115" fillId="0" borderId="0"/>
    <xf numFmtId="0" fontId="115" fillId="0" borderId="0"/>
    <xf numFmtId="0" fontId="115" fillId="0" borderId="0"/>
    <xf numFmtId="0" fontId="8" fillId="0" borderId="0"/>
    <xf numFmtId="0" fontId="115" fillId="0" borderId="0"/>
    <xf numFmtId="0" fontId="115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8" fillId="0" borderId="0"/>
    <xf numFmtId="0" fontId="2" fillId="0" borderId="0"/>
    <xf numFmtId="0" fontId="9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115" fillId="0" borderId="0"/>
    <xf numFmtId="0" fontId="3" fillId="0" borderId="0"/>
    <xf numFmtId="0" fontId="3" fillId="0" borderId="0"/>
    <xf numFmtId="0" fontId="3" fillId="0" borderId="0"/>
    <xf numFmtId="0" fontId="92" fillId="0" borderId="0"/>
    <xf numFmtId="0" fontId="92" fillId="0" borderId="0"/>
    <xf numFmtId="0" fontId="92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2" fillId="0" borderId="0"/>
    <xf numFmtId="0" fontId="3" fillId="0" borderId="0"/>
    <xf numFmtId="0" fontId="3" fillId="0" borderId="0"/>
    <xf numFmtId="0" fontId="92" fillId="0" borderId="0"/>
    <xf numFmtId="0" fontId="3" fillId="0" borderId="0"/>
    <xf numFmtId="0" fontId="8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>
      <alignment horizontal="left" indent="5"/>
    </xf>
    <xf numFmtId="0" fontId="2" fillId="0" borderId="0">
      <alignment horizontal="left" indent="5"/>
    </xf>
    <xf numFmtId="0" fontId="2" fillId="0" borderId="0"/>
    <xf numFmtId="0" fontId="3" fillId="0" borderId="0" applyNumberFormat="0" applyFont="0" applyFill="0" applyBorder="0" applyProtection="0">
      <alignment vertical="top"/>
    </xf>
    <xf numFmtId="0" fontId="3" fillId="0" borderId="0"/>
    <xf numFmtId="0" fontId="2" fillId="0" borderId="0"/>
    <xf numFmtId="0" fontId="3" fillId="0" borderId="0"/>
    <xf numFmtId="0" fontId="2" fillId="0" borderId="0"/>
    <xf numFmtId="0" fontId="115" fillId="0" borderId="0"/>
    <xf numFmtId="0" fontId="115" fillId="0" borderId="0"/>
    <xf numFmtId="0" fontId="2" fillId="0" borderId="0"/>
    <xf numFmtId="0" fontId="115" fillId="0" borderId="0"/>
    <xf numFmtId="0" fontId="98" fillId="0" borderId="0"/>
    <xf numFmtId="0" fontId="115" fillId="0" borderId="0"/>
    <xf numFmtId="0" fontId="8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8" fillId="0" borderId="0"/>
    <xf numFmtId="0" fontId="8" fillId="0" borderId="0"/>
    <xf numFmtId="0" fontId="99" fillId="0" borderId="0"/>
    <xf numFmtId="0" fontId="115" fillId="0" borderId="0"/>
    <xf numFmtId="0" fontId="115" fillId="0" borderId="0"/>
    <xf numFmtId="0" fontId="2" fillId="0" borderId="0"/>
    <xf numFmtId="0" fontId="2" fillId="0" borderId="0"/>
    <xf numFmtId="0" fontId="115" fillId="0" borderId="0"/>
    <xf numFmtId="0" fontId="2" fillId="0" borderId="0"/>
    <xf numFmtId="0" fontId="2" fillId="0" borderId="0"/>
    <xf numFmtId="0" fontId="92" fillId="0" borderId="0"/>
    <xf numFmtId="0" fontId="8" fillId="0" borderId="0"/>
    <xf numFmtId="0" fontId="115" fillId="0" borderId="0"/>
    <xf numFmtId="0" fontId="11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5" fillId="0" borderId="0"/>
    <xf numFmtId="0" fontId="2" fillId="0" borderId="0"/>
    <xf numFmtId="0" fontId="3" fillId="0" borderId="0"/>
    <xf numFmtId="0" fontId="115" fillId="0" borderId="0"/>
    <xf numFmtId="0" fontId="115" fillId="0" borderId="0"/>
    <xf numFmtId="0" fontId="2" fillId="0" borderId="0"/>
    <xf numFmtId="0" fontId="115" fillId="0" borderId="0"/>
    <xf numFmtId="0" fontId="2" fillId="0" borderId="0"/>
    <xf numFmtId="0" fontId="3" fillId="0" borderId="0"/>
    <xf numFmtId="0" fontId="2" fillId="0" borderId="0"/>
    <xf numFmtId="0" fontId="115" fillId="0" borderId="0"/>
    <xf numFmtId="0" fontId="2" fillId="0" borderId="0"/>
    <xf numFmtId="0" fontId="115" fillId="0" borderId="0"/>
    <xf numFmtId="0" fontId="2" fillId="0" borderId="0"/>
    <xf numFmtId="0" fontId="115" fillId="0" borderId="0"/>
    <xf numFmtId="0" fontId="2" fillId="0" borderId="0"/>
    <xf numFmtId="0" fontId="115" fillId="0" borderId="0"/>
    <xf numFmtId="0" fontId="2" fillId="0" borderId="0"/>
    <xf numFmtId="0" fontId="100" fillId="0" borderId="0"/>
    <xf numFmtId="0" fontId="115" fillId="0" borderId="0"/>
    <xf numFmtId="0" fontId="1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115" fillId="0" borderId="0"/>
    <xf numFmtId="0" fontId="115" fillId="0" borderId="0"/>
    <xf numFmtId="0" fontId="98" fillId="0" borderId="0"/>
    <xf numFmtId="0" fontId="115" fillId="0" borderId="0"/>
    <xf numFmtId="0" fontId="2" fillId="0" borderId="0"/>
    <xf numFmtId="0" fontId="115" fillId="0" borderId="0"/>
    <xf numFmtId="0" fontId="115" fillId="0" borderId="0"/>
    <xf numFmtId="0" fontId="9" fillId="0" borderId="0"/>
    <xf numFmtId="0" fontId="2" fillId="0" borderId="0"/>
    <xf numFmtId="0" fontId="3" fillId="0" borderId="0" applyNumberFormat="0" applyFont="0" applyFill="0" applyBorder="0" applyProtection="0">
      <alignment vertical="top"/>
    </xf>
    <xf numFmtId="0" fontId="2" fillId="0" borderId="0"/>
    <xf numFmtId="0" fontId="115" fillId="0" borderId="0"/>
    <xf numFmtId="0" fontId="2" fillId="0" borderId="0"/>
    <xf numFmtId="0" fontId="115" fillId="0" borderId="0"/>
    <xf numFmtId="0" fontId="2" fillId="0" borderId="0"/>
    <xf numFmtId="0" fontId="115" fillId="0" borderId="0"/>
    <xf numFmtId="0" fontId="115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ill="0" applyBorder="0" applyProtection="0"/>
    <xf numFmtId="0" fontId="9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>
      <alignment horizontal="left" indent="5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115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 applyNumberFormat="0" applyFont="0" applyFill="0" applyBorder="0" applyProtection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8" fillId="0" borderId="0"/>
    <xf numFmtId="0" fontId="88" fillId="0" borderId="2">
      <alignment horizontal="center" wrapText="1"/>
    </xf>
    <xf numFmtId="0" fontId="3" fillId="0" borderId="2" applyBorder="0">
      <alignment horizontal="center" wrapText="1"/>
    </xf>
    <xf numFmtId="0" fontId="14" fillId="74" borderId="0" applyNumberFormat="0" applyBorder="0" applyProtection="0"/>
    <xf numFmtId="0" fontId="14" fillId="4" borderId="0" applyNumberFormat="0" applyBorder="0" applyProtection="0"/>
    <xf numFmtId="0" fontId="14" fillId="75" borderId="0" applyNumberFormat="0" applyBorder="0" applyProtection="0"/>
    <xf numFmtId="0" fontId="14" fillId="4" borderId="0" applyNumberFormat="0" applyBorder="0" applyProtection="0"/>
    <xf numFmtId="0" fontId="14" fillId="4" borderId="0" applyNumberFormat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2" fillId="10" borderId="14" applyNumberFormat="0" applyFont="0" applyProtection="0"/>
    <xf numFmtId="0" fontId="2" fillId="10" borderId="14" applyNumberFormat="0" applyFont="0" applyProtection="0"/>
    <xf numFmtId="0" fontId="3" fillId="10" borderId="14" applyNumberFormat="0" applyFont="0" applyProtection="0"/>
    <xf numFmtId="0" fontId="3" fillId="10" borderId="14" applyNumberFormat="0" applyFont="0" applyProtection="0"/>
    <xf numFmtId="0" fontId="3" fillId="59" borderId="14" applyNumberFormat="0" applyProtection="0"/>
    <xf numFmtId="0" fontId="2" fillId="10" borderId="14" applyNumberFormat="0" applyFont="0" applyProtection="0"/>
    <xf numFmtId="0" fontId="3" fillId="10" borderId="14" applyNumberFormat="0" applyFont="0" applyProtection="0"/>
    <xf numFmtId="0" fontId="2" fillId="10" borderId="14" applyNumberFormat="0" applyFont="0" applyProtection="0"/>
    <xf numFmtId="0" fontId="2" fillId="10" borderId="14" applyNumberFormat="0" applyFont="0" applyProtection="0"/>
    <xf numFmtId="0" fontId="2" fillId="10" borderId="14" applyNumberFormat="0" applyFont="0" applyProtection="0"/>
    <xf numFmtId="0" fontId="3" fillId="10" borderId="14" applyNumberFormat="0" applyFont="0" applyProtection="0"/>
    <xf numFmtId="0" fontId="2" fillId="59" borderId="14" applyNumberFormat="0" applyProtection="0"/>
    <xf numFmtId="0" fontId="2" fillId="10" borderId="14" applyNumberFormat="0" applyFont="0" applyProtection="0"/>
    <xf numFmtId="0" fontId="2" fillId="10" borderId="14" applyNumberFormat="0" applyFont="0" applyProtection="0"/>
    <xf numFmtId="0" fontId="2" fillId="10" borderId="14" applyNumberFormat="0" applyFont="0" applyProtection="0"/>
    <xf numFmtId="0" fontId="2" fillId="10" borderId="14" applyNumberFormat="0" applyFont="0" applyProtection="0"/>
    <xf numFmtId="0" fontId="2" fillId="59" borderId="14" applyNumberFormat="0" applyProtection="0"/>
    <xf numFmtId="0" fontId="2" fillId="10" borderId="14" applyNumberFormat="0" applyFont="0" applyProtection="0"/>
    <xf numFmtId="0" fontId="2" fillId="10" borderId="14" applyNumberFormat="0" applyFont="0" applyProtection="0"/>
    <xf numFmtId="0" fontId="2" fillId="10" borderId="14" applyNumberFormat="0" applyFont="0" applyProtection="0"/>
    <xf numFmtId="0" fontId="2" fillId="10" borderId="14" applyNumberFormat="0" applyFont="0" applyProtection="0"/>
    <xf numFmtId="0" fontId="2" fillId="10" borderId="14" applyNumberFormat="0" applyFont="0" applyProtection="0"/>
    <xf numFmtId="0" fontId="2" fillId="10" borderId="14" applyNumberFormat="0" applyFont="0" applyProtection="0"/>
    <xf numFmtId="9" fontId="115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115" fillId="0" borderId="0" applyFont="0" applyFill="0" applyBorder="0" applyProtection="0"/>
    <xf numFmtId="9" fontId="92" fillId="0" borderId="0" applyFont="0" applyFill="0" applyBorder="0" applyProtection="0"/>
    <xf numFmtId="9" fontId="115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92" fillId="0" borderId="0" applyFont="0" applyFill="0" applyBorder="0" applyProtection="0"/>
    <xf numFmtId="9" fontId="2" fillId="0" borderId="0" applyFont="0" applyFill="0" applyBorder="0" applyProtection="0"/>
    <xf numFmtId="9" fontId="9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ill="0" applyBorder="0" applyProtection="0"/>
    <xf numFmtId="9" fontId="2" fillId="0" borderId="0" applyFont="0" applyFill="0" applyBorder="0" applyProtection="0"/>
    <xf numFmtId="9" fontId="2" fillId="0" borderId="0" applyFont="0" applyFill="0" applyBorder="0" applyProtection="0"/>
    <xf numFmtId="9" fontId="2" fillId="0" borderId="0" applyFill="0" applyBorder="0" applyProtection="0"/>
    <xf numFmtId="9" fontId="8" fillId="0" borderId="0" applyFont="0" applyFill="0" applyBorder="0" applyProtection="0"/>
    <xf numFmtId="9" fontId="8" fillId="0" borderId="0" applyFont="0" applyFill="0" applyBorder="0" applyProtection="0"/>
    <xf numFmtId="9" fontId="8" fillId="0" borderId="0" applyFont="0" applyFill="0" applyBorder="0" applyProtection="0"/>
    <xf numFmtId="0" fontId="88" fillId="0" borderId="2">
      <alignment horizontal="center"/>
    </xf>
    <xf numFmtId="0" fontId="88" fillId="0" borderId="2">
      <alignment horizontal="center"/>
    </xf>
    <xf numFmtId="0" fontId="88" fillId="0" borderId="2">
      <alignment horizontal="center"/>
    </xf>
    <xf numFmtId="0" fontId="88" fillId="0" borderId="24">
      <alignment horizontal="center"/>
    </xf>
    <xf numFmtId="0" fontId="88" fillId="0" borderId="2">
      <alignment horizontal="center" wrapText="1"/>
    </xf>
    <xf numFmtId="0" fontId="2" fillId="0" borderId="0"/>
    <xf numFmtId="0" fontId="88" fillId="0" borderId="2">
      <alignment horizontal="center"/>
    </xf>
    <xf numFmtId="0" fontId="50" fillId="0" borderId="12" applyNumberFormat="0" applyFill="0" applyProtection="0"/>
    <xf numFmtId="0" fontId="50" fillId="0" borderId="12" applyNumberFormat="0" applyFill="0" applyProtection="0"/>
    <xf numFmtId="0" fontId="50" fillId="0" borderId="12" applyNumberFormat="0" applyFill="0" applyProtection="0"/>
    <xf numFmtId="0" fontId="50" fillId="0" borderId="12" applyNumberFormat="0" applyFill="0" applyProtection="0"/>
    <xf numFmtId="0" fontId="50" fillId="0" borderId="12" applyNumberFormat="0" applyFill="0" applyProtection="0"/>
    <xf numFmtId="0" fontId="88" fillId="0" borderId="0">
      <alignment horizontal="center" vertical="top" wrapText="1"/>
    </xf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justify"/>
    </xf>
    <xf numFmtId="0" fontId="101" fillId="0" borderId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7" fillId="0" borderId="0" applyNumberFormat="0" applyFill="0" applyBorder="0" applyProtection="0"/>
    <xf numFmtId="0" fontId="88" fillId="0" borderId="0">
      <alignment horizontal="center"/>
    </xf>
    <xf numFmtId="170" fontId="2" fillId="0" borderId="0" applyFont="0" applyFill="0" applyBorder="0" applyProtection="0"/>
    <xf numFmtId="190" fontId="2" fillId="0" borderId="0" applyFont="0" applyFill="0" applyBorder="0" applyProtection="0"/>
    <xf numFmtId="2" fontId="22" fillId="0" borderId="0" applyFill="0" applyBorder="0" applyProtection="0"/>
    <xf numFmtId="191" fontId="2" fillId="0" borderId="0" applyFont="0" applyFill="0" applyBorder="0" applyProtection="0"/>
    <xf numFmtId="190" fontId="2" fillId="0" borderId="0" applyFont="0" applyFill="0" applyBorder="0" applyProtection="0"/>
    <xf numFmtId="192" fontId="2" fillId="0" borderId="0" applyFont="0" applyFill="0" applyBorder="0" applyProtection="0"/>
    <xf numFmtId="192" fontId="2" fillId="0" borderId="0" applyFont="0" applyFill="0" applyBorder="0" applyProtection="0"/>
    <xf numFmtId="192" fontId="8" fillId="0" borderId="0" applyFont="0" applyFill="0" applyBorder="0" applyProtection="0"/>
    <xf numFmtId="192" fontId="8" fillId="0" borderId="0" applyFont="0" applyFill="0" applyBorder="0" applyProtection="0"/>
    <xf numFmtId="193" fontId="3" fillId="0" borderId="0" applyFont="0" applyFill="0" applyBorder="0" applyProtection="0"/>
    <xf numFmtId="193" fontId="3" fillId="0" borderId="0" applyFont="0" applyFill="0" applyBorder="0" applyProtection="0"/>
    <xf numFmtId="192" fontId="8" fillId="0" borderId="0" applyFont="0" applyFill="0" applyBorder="0" applyProtection="0"/>
    <xf numFmtId="192" fontId="115" fillId="0" borderId="0" applyFont="0" applyFill="0" applyBorder="0" applyProtection="0"/>
    <xf numFmtId="192" fontId="115" fillId="0" borderId="0" applyFont="0" applyFill="0" applyBorder="0" applyProtection="0"/>
    <xf numFmtId="192" fontId="115" fillId="0" borderId="0" applyFont="0" applyFill="0" applyBorder="0" applyProtection="0"/>
    <xf numFmtId="43" fontId="115" fillId="0" borderId="0" applyFont="0" applyFill="0" applyBorder="0" applyProtection="0"/>
    <xf numFmtId="194" fontId="115" fillId="0" borderId="0" applyFont="0" applyFill="0" applyBorder="0" applyProtection="0"/>
    <xf numFmtId="194" fontId="115" fillId="0" borderId="0" applyFont="0" applyFill="0" applyBorder="0" applyProtection="0"/>
    <xf numFmtId="194" fontId="115" fillId="0" borderId="0" applyFont="0" applyFill="0" applyBorder="0" applyProtection="0"/>
    <xf numFmtId="192" fontId="2" fillId="0" borderId="0" applyFont="0" applyFill="0" applyBorder="0" applyProtection="0"/>
    <xf numFmtId="192" fontId="2" fillId="0" borderId="0" applyFont="0" applyFill="0" applyBorder="0" applyProtection="0"/>
    <xf numFmtId="195" fontId="2" fillId="0" borderId="0" applyFill="0" applyBorder="0" applyProtection="0"/>
    <xf numFmtId="192" fontId="2" fillId="0" borderId="0" applyFont="0" applyFill="0" applyBorder="0" applyProtection="0"/>
    <xf numFmtId="192" fontId="2" fillId="0" borderId="0" applyFont="0" applyFill="0" applyBorder="0" applyProtection="0"/>
    <xf numFmtId="192" fontId="3" fillId="0" borderId="0" applyFont="0" applyFill="0" applyBorder="0" applyProtection="0"/>
    <xf numFmtId="192" fontId="3" fillId="0" borderId="0" applyFont="0" applyFill="0" applyBorder="0" applyProtection="0"/>
    <xf numFmtId="194" fontId="115" fillId="0" borderId="0" applyFont="0" applyFill="0" applyBorder="0" applyProtection="0"/>
    <xf numFmtId="192" fontId="3" fillId="0" borderId="0" applyFill="0" applyBorder="0" applyProtection="0"/>
    <xf numFmtId="194" fontId="115" fillId="0" borderId="0" applyFont="0" applyFill="0" applyBorder="0" applyProtection="0"/>
    <xf numFmtId="43" fontId="3" fillId="0" borderId="0" applyFont="0" applyFill="0" applyBorder="0" applyProtection="0"/>
    <xf numFmtId="192" fontId="2" fillId="0" borderId="0" applyFont="0" applyFill="0" applyBorder="0" applyProtection="0"/>
    <xf numFmtId="192" fontId="2" fillId="0" borderId="0" applyFont="0" applyFill="0" applyBorder="0" applyProtection="0"/>
    <xf numFmtId="192" fontId="92" fillId="0" borderId="0" applyFont="0" applyFill="0" applyBorder="0" applyProtection="0"/>
    <xf numFmtId="192" fontId="2" fillId="0" borderId="0" applyFont="0" applyFill="0" applyBorder="0" applyProtection="0"/>
    <xf numFmtId="192" fontId="2" fillId="0" borderId="0" applyFont="0" applyFill="0" applyBorder="0" applyProtection="0"/>
    <xf numFmtId="192" fontId="2" fillId="0" borderId="0" applyFont="0" applyFill="0" applyBorder="0" applyProtection="0"/>
    <xf numFmtId="192" fontId="2" fillId="0" borderId="0" applyFont="0" applyFill="0" applyBorder="0" applyProtection="0"/>
    <xf numFmtId="192" fontId="2" fillId="0" borderId="0" applyFont="0" applyFill="0" applyBorder="0" applyProtection="0"/>
    <xf numFmtId="192" fontId="2" fillId="0" borderId="0" applyFont="0" applyFill="0" applyBorder="0" applyProtection="0"/>
    <xf numFmtId="192" fontId="2" fillId="0" borderId="0" applyFont="0" applyFill="0" applyBorder="0" applyProtection="0"/>
    <xf numFmtId="192" fontId="2" fillId="0" borderId="0" applyFont="0" applyFill="0" applyBorder="0" applyProtection="0"/>
    <xf numFmtId="43" fontId="3" fillId="0" borderId="0" applyFont="0" applyFill="0" applyBorder="0" applyProtection="0"/>
    <xf numFmtId="192" fontId="2" fillId="0" borderId="0" applyFont="0" applyFill="0" applyBorder="0" applyProtection="0"/>
    <xf numFmtId="192" fontId="2" fillId="0" borderId="0" applyFont="0" applyFill="0" applyBorder="0" applyProtection="0"/>
    <xf numFmtId="195" fontId="2" fillId="0" borderId="0" applyFill="0" applyBorder="0" applyProtection="0"/>
    <xf numFmtId="192" fontId="2" fillId="0" borderId="0" applyFont="0" applyFill="0" applyBorder="0" applyProtection="0"/>
    <xf numFmtId="192" fontId="2" fillId="0" borderId="0" applyFont="0" applyFill="0" applyBorder="0" applyProtection="0"/>
    <xf numFmtId="192" fontId="2" fillId="0" borderId="0" applyFont="0" applyFill="0" applyBorder="0" applyProtection="0"/>
    <xf numFmtId="192" fontId="2" fillId="0" borderId="0" applyFont="0" applyFill="0" applyBorder="0" applyProtection="0"/>
    <xf numFmtId="192" fontId="2" fillId="0" borderId="0" applyFont="0" applyFill="0" applyBorder="0" applyProtection="0"/>
    <xf numFmtId="192" fontId="2" fillId="0" borderId="0" applyFont="0" applyFill="0" applyBorder="0" applyProtection="0"/>
    <xf numFmtId="43" fontId="3" fillId="0" borderId="0" applyFont="0" applyFill="0" applyBorder="0" applyProtection="0"/>
    <xf numFmtId="43" fontId="115" fillId="0" borderId="0" applyFont="0" applyFill="0" applyBorder="0" applyProtection="0"/>
    <xf numFmtId="192" fontId="2" fillId="0" borderId="0" applyFont="0" applyFill="0" applyBorder="0" applyProtection="0"/>
    <xf numFmtId="192" fontId="2" fillId="0" borderId="0" applyFont="0" applyFill="0" applyBorder="0" applyProtection="0"/>
    <xf numFmtId="192" fontId="2" fillId="0" borderId="0" applyFont="0" applyFill="0" applyBorder="0" applyProtection="0"/>
    <xf numFmtId="192" fontId="2" fillId="0" borderId="0" applyFont="0" applyFill="0" applyBorder="0" applyProtection="0"/>
    <xf numFmtId="192" fontId="2" fillId="0" borderId="0" applyFont="0" applyFill="0" applyBorder="0" applyProtection="0"/>
    <xf numFmtId="196" fontId="3" fillId="0" borderId="0" applyFont="0" applyFill="0" applyBorder="0" applyProtection="0"/>
    <xf numFmtId="192" fontId="8" fillId="0" borderId="0" applyFont="0" applyFill="0" applyBorder="0" applyProtection="0"/>
    <xf numFmtId="196" fontId="3" fillId="0" borderId="0" applyFont="0" applyFill="0" applyBorder="0" applyProtection="0"/>
    <xf numFmtId="197" fontId="2" fillId="0" borderId="0" applyFont="0" applyFill="0" applyBorder="0" applyProtection="0"/>
    <xf numFmtId="197" fontId="2" fillId="0" borderId="0" applyFont="0" applyFill="0" applyBorder="0" applyProtection="0"/>
    <xf numFmtId="197" fontId="2" fillId="0" borderId="0" applyFont="0" applyFill="0" applyBorder="0" applyProtection="0"/>
    <xf numFmtId="0" fontId="2" fillId="0" borderId="0"/>
    <xf numFmtId="0" fontId="2" fillId="0" borderId="0"/>
    <xf numFmtId="0" fontId="2" fillId="0" borderId="0"/>
    <xf numFmtId="0" fontId="88" fillId="0" borderId="0">
      <alignment horizontal="left" vertical="top"/>
    </xf>
    <xf numFmtId="0" fontId="35" fillId="76" borderId="0" applyNumberFormat="0" applyBorder="0" applyProtection="0"/>
    <xf numFmtId="0" fontId="35" fillId="5" borderId="0" applyNumberFormat="0" applyBorder="0" applyProtection="0"/>
    <xf numFmtId="0" fontId="35" fillId="76" borderId="0" applyNumberFormat="0" applyBorder="0" applyProtection="0"/>
    <xf numFmtId="0" fontId="35" fillId="5" borderId="0" applyNumberFormat="0" applyBorder="0" applyProtection="0"/>
    <xf numFmtId="0" fontId="35" fillId="5" borderId="0" applyNumberFormat="0" applyBorder="0" applyProtection="0"/>
    <xf numFmtId="0" fontId="2" fillId="0" borderId="0" applyFont="0" applyFill="0" applyBorder="0"/>
    <xf numFmtId="3" fontId="85" fillId="0" borderId="0"/>
    <xf numFmtId="0" fontId="88" fillId="0" borderId="0"/>
    <xf numFmtId="0" fontId="102" fillId="0" borderId="0"/>
  </cellStyleXfs>
  <cellXfs count="59">
    <xf numFmtId="0" fontId="0" fillId="0" borderId="0" xfId="0"/>
    <xf numFmtId="0" fontId="103" fillId="0" borderId="0" xfId="2354" applyFont="1" applyAlignment="1">
      <alignment vertical="center"/>
    </xf>
    <xf numFmtId="0" fontId="104" fillId="0" borderId="0" xfId="2354" applyFont="1" applyAlignment="1">
      <alignment vertical="center"/>
    </xf>
    <xf numFmtId="0" fontId="105" fillId="77" borderId="0" xfId="2354" applyFont="1" applyFill="1" applyAlignment="1">
      <alignment vertical="center"/>
    </xf>
    <xf numFmtId="0" fontId="103" fillId="0" borderId="0" xfId="2354" applyFont="1" applyAlignment="1">
      <alignment horizontal="center" vertical="center" wrapText="1"/>
    </xf>
    <xf numFmtId="0" fontId="103" fillId="0" borderId="0" xfId="2354" applyFont="1" applyAlignment="1">
      <alignment horizontal="center" vertical="center"/>
    </xf>
    <xf numFmtId="0" fontId="103" fillId="0" borderId="0" xfId="2354" applyFont="1" applyAlignment="1">
      <alignment vertical="center" wrapText="1"/>
    </xf>
    <xf numFmtId="0" fontId="104" fillId="0" borderId="0" xfId="2354" applyFont="1" applyAlignment="1">
      <alignment vertical="center" wrapText="1"/>
    </xf>
    <xf numFmtId="0" fontId="106" fillId="0" borderId="0" xfId="0" applyFont="1"/>
    <xf numFmtId="0" fontId="107" fillId="78" borderId="2" xfId="2365" applyFont="1" applyFill="1" applyBorder="1" applyAlignment="1">
      <alignment horizontal="center" vertical="center" wrapText="1" shrinkToFit="1"/>
    </xf>
    <xf numFmtId="0" fontId="39" fillId="78" borderId="2" xfId="2365" applyFont="1" applyFill="1" applyBorder="1" applyAlignment="1">
      <alignment horizontal="center" vertical="center" wrapText="1" shrinkToFit="1"/>
    </xf>
    <xf numFmtId="0" fontId="39" fillId="78" borderId="2" xfId="0" applyFont="1" applyFill="1" applyBorder="1" applyAlignment="1">
      <alignment horizontal="center" vertical="center" wrapText="1" shrinkToFit="1"/>
    </xf>
    <xf numFmtId="0" fontId="39" fillId="79" borderId="2" xfId="2365" applyFont="1" applyFill="1" applyBorder="1" applyAlignment="1">
      <alignment horizontal="center" vertical="center" wrapText="1" shrinkToFit="1"/>
    </xf>
    <xf numFmtId="0" fontId="39" fillId="78" borderId="2" xfId="2365" applyFont="1" applyFill="1" applyBorder="1" applyAlignment="1">
      <alignment vertical="center" wrapText="1" shrinkToFit="1"/>
    </xf>
    <xf numFmtId="0" fontId="108" fillId="0" borderId="0" xfId="0" applyFont="1"/>
    <xf numFmtId="0" fontId="109" fillId="80" borderId="2" xfId="0" applyFont="1" applyFill="1" applyBorder="1" applyAlignment="1">
      <alignment horizontal="center" vertical="center" wrapText="1" shrinkToFit="1"/>
    </xf>
    <xf numFmtId="0" fontId="110" fillId="80" borderId="2" xfId="0" applyFont="1" applyFill="1" applyBorder="1" applyAlignment="1">
      <alignment horizontal="center" vertical="center" wrapText="1" shrinkToFit="1"/>
    </xf>
    <xf numFmtId="0" fontId="110" fillId="81" borderId="2" xfId="0" applyFont="1" applyFill="1" applyBorder="1" applyAlignment="1">
      <alignment horizontal="center" vertical="center" wrapText="1" shrinkToFit="1"/>
    </xf>
    <xf numFmtId="0" fontId="110" fillId="80" borderId="17" xfId="0" applyFont="1" applyFill="1" applyBorder="1" applyAlignment="1">
      <alignment horizontal="center" vertical="center" wrapText="1" shrinkToFit="1"/>
    </xf>
    <xf numFmtId="0" fontId="111" fillId="0" borderId="0" xfId="0" applyFont="1" applyAlignment="1">
      <alignment vertical="top"/>
    </xf>
    <xf numFmtId="0" fontId="112" fillId="0" borderId="2" xfId="1735" applyFont="1" applyBorder="1" applyAlignment="1">
      <alignment horizontal="center" vertical="center" wrapText="1"/>
    </xf>
    <xf numFmtId="49" fontId="113" fillId="0" borderId="2" xfId="1735" applyNumberFormat="1" applyFont="1" applyBorder="1" applyAlignment="1">
      <alignment horizontal="center" vertical="center" wrapText="1"/>
    </xf>
    <xf numFmtId="49" fontId="114" fillId="0" borderId="2" xfId="1735" applyNumberFormat="1" applyFont="1" applyBorder="1" applyAlignment="1">
      <alignment horizontal="center" vertical="center" wrapText="1"/>
    </xf>
    <xf numFmtId="0" fontId="113" fillId="0" borderId="2" xfId="1735" applyFont="1" applyBorder="1" applyAlignment="1">
      <alignment horizontal="center" vertical="center" wrapText="1"/>
    </xf>
    <xf numFmtId="0" fontId="110" fillId="0" borderId="24" xfId="0" applyFont="1" applyBorder="1" applyAlignment="1">
      <alignment horizontal="center" vertical="center" wrapText="1" shrinkToFit="1"/>
    </xf>
    <xf numFmtId="0" fontId="116" fillId="0" borderId="24" xfId="0" applyFont="1" applyBorder="1" applyAlignment="1">
      <alignment vertical="top" wrapText="1"/>
    </xf>
    <xf numFmtId="0" fontId="113" fillId="0" borderId="2" xfId="1741" applyFont="1" applyBorder="1" applyAlignment="1">
      <alignment vertical="center" wrapText="1"/>
    </xf>
    <xf numFmtId="0" fontId="113" fillId="0" borderId="2" xfId="1741" applyFont="1" applyBorder="1" applyAlignment="1">
      <alignment horizontal="center" vertical="center" wrapText="1"/>
    </xf>
    <xf numFmtId="4" fontId="113" fillId="0" borderId="17" xfId="1735" applyNumberFormat="1" applyFont="1" applyBorder="1" applyAlignment="1">
      <alignment horizontal="center" vertical="center" wrapText="1"/>
    </xf>
    <xf numFmtId="0" fontId="111" fillId="0" borderId="2" xfId="0" applyFont="1" applyBorder="1" applyAlignment="1">
      <alignment vertical="center"/>
    </xf>
    <xf numFmtId="0" fontId="111" fillId="0" borderId="2" xfId="0" applyFont="1" applyBorder="1" applyAlignment="1">
      <alignment horizontal="center" vertical="center" wrapText="1"/>
    </xf>
    <xf numFmtId="0" fontId="111" fillId="0" borderId="2" xfId="0" applyFont="1" applyBorder="1" applyAlignment="1">
      <alignment horizontal="center" vertical="center"/>
    </xf>
    <xf numFmtId="0" fontId="111" fillId="0" borderId="17" xfId="0" applyFont="1" applyBorder="1" applyAlignment="1">
      <alignment horizontal="center" vertical="center"/>
    </xf>
    <xf numFmtId="0" fontId="111" fillId="82" borderId="24" xfId="0" applyFont="1" applyFill="1" applyBorder="1" applyAlignment="1">
      <alignment vertical="top" wrapText="1"/>
    </xf>
    <xf numFmtId="0" fontId="116" fillId="82" borderId="24" xfId="0" applyFont="1" applyFill="1" applyBorder="1" applyAlignment="1">
      <alignment vertical="top" wrapText="1"/>
    </xf>
    <xf numFmtId="0" fontId="113" fillId="82" borderId="2" xfId="1741" applyFont="1" applyFill="1" applyBorder="1" applyAlignment="1">
      <alignment vertical="center" wrapText="1"/>
    </xf>
    <xf numFmtId="0" fontId="113" fillId="82" borderId="2" xfId="1741" applyFont="1" applyFill="1" applyBorder="1" applyAlignment="1">
      <alignment horizontal="center" vertical="center" wrapText="1"/>
    </xf>
    <xf numFmtId="4" fontId="113" fillId="82" borderId="17" xfId="1735" applyNumberFormat="1" applyFont="1" applyFill="1" applyBorder="1" applyAlignment="1">
      <alignment horizontal="center" vertical="center" wrapText="1"/>
    </xf>
    <xf numFmtId="0" fontId="111" fillId="82" borderId="2" xfId="0" applyFont="1" applyFill="1" applyBorder="1" applyAlignment="1">
      <alignment vertical="center"/>
    </xf>
    <xf numFmtId="0" fontId="111" fillId="82" borderId="2" xfId="0" applyFont="1" applyFill="1" applyBorder="1" applyAlignment="1">
      <alignment horizontal="center" vertical="center" wrapText="1"/>
    </xf>
    <xf numFmtId="0" fontId="111" fillId="82" borderId="2" xfId="0" applyFont="1" applyFill="1" applyBorder="1" applyAlignment="1">
      <alignment horizontal="center" vertical="center"/>
    </xf>
    <xf numFmtId="0" fontId="111" fillId="82" borderId="17" xfId="0" applyFont="1" applyFill="1" applyBorder="1" applyAlignment="1">
      <alignment horizontal="center" vertical="center"/>
    </xf>
    <xf numFmtId="0" fontId="117" fillId="82" borderId="2" xfId="1741" applyFont="1" applyFill="1" applyBorder="1" applyAlignment="1">
      <alignment vertical="center" wrapText="1"/>
    </xf>
    <xf numFmtId="49" fontId="113" fillId="82" borderId="2" xfId="1741" quotePrefix="1" applyNumberFormat="1" applyFont="1" applyFill="1" applyBorder="1" applyAlignment="1">
      <alignment horizontal="left" vertical="center" wrapText="1" shrinkToFit="1"/>
    </xf>
    <xf numFmtId="49" fontId="113" fillId="84" borderId="2" xfId="1741" quotePrefix="1" applyNumberFormat="1" applyFont="1" applyFill="1" applyBorder="1" applyAlignment="1">
      <alignment horizontal="left" vertical="center" wrapText="1" shrinkToFit="1"/>
    </xf>
    <xf numFmtId="0" fontId="113" fillId="84" borderId="2" xfId="1741" applyFont="1" applyFill="1" applyBorder="1" applyAlignment="1">
      <alignment horizontal="center" vertical="center" wrapText="1"/>
    </xf>
    <xf numFmtId="4" fontId="113" fillId="84" borderId="17" xfId="1735" applyNumberFormat="1" applyFont="1" applyFill="1" applyBorder="1" applyAlignment="1">
      <alignment horizontal="center" vertical="center" wrapText="1"/>
    </xf>
    <xf numFmtId="0" fontId="111" fillId="83" borderId="24" xfId="0" applyFont="1" applyFill="1" applyBorder="1" applyAlignment="1">
      <alignment vertical="top" wrapText="1"/>
    </xf>
    <xf numFmtId="0" fontId="111" fillId="82" borderId="2" xfId="0" applyFont="1" applyFill="1" applyBorder="1" applyAlignment="1">
      <alignment vertical="center" wrapText="1"/>
    </xf>
    <xf numFmtId="0" fontId="111" fillId="82" borderId="17" xfId="0" applyFont="1" applyFill="1" applyBorder="1" applyAlignment="1">
      <alignment horizontal="center" vertical="center" wrapText="1"/>
    </xf>
    <xf numFmtId="49" fontId="114" fillId="86" borderId="17" xfId="1741" quotePrefix="1" applyNumberFormat="1" applyFont="1" applyFill="1" applyBorder="1" applyAlignment="1">
      <alignment horizontal="center" vertical="center" wrapText="1" shrinkToFit="1"/>
    </xf>
    <xf numFmtId="49" fontId="114" fillId="86" borderId="5" xfId="1741" quotePrefix="1" applyNumberFormat="1" applyFont="1" applyFill="1" applyBorder="1" applyAlignment="1">
      <alignment horizontal="center" vertical="center" wrapText="1" shrinkToFit="1"/>
    </xf>
    <xf numFmtId="49" fontId="114" fillId="86" borderId="29" xfId="1741" quotePrefix="1" applyNumberFormat="1" applyFont="1" applyFill="1" applyBorder="1" applyAlignment="1">
      <alignment horizontal="center" vertical="center" wrapText="1" shrinkToFit="1"/>
    </xf>
    <xf numFmtId="49" fontId="114" fillId="85" borderId="17" xfId="1741" quotePrefix="1" applyNumberFormat="1" applyFont="1" applyFill="1" applyBorder="1" applyAlignment="1">
      <alignment horizontal="center" vertical="center" wrapText="1" shrinkToFit="1"/>
    </xf>
    <xf numFmtId="49" fontId="114" fillId="85" borderId="5" xfId="1741" quotePrefix="1" applyNumberFormat="1" applyFont="1" applyFill="1" applyBorder="1" applyAlignment="1">
      <alignment horizontal="center" vertical="center" wrapText="1" shrinkToFit="1"/>
    </xf>
    <xf numFmtId="49" fontId="114" fillId="85" borderId="29" xfId="1741" quotePrefix="1" applyNumberFormat="1" applyFont="1" applyFill="1" applyBorder="1" applyAlignment="1">
      <alignment horizontal="center" vertical="center" wrapText="1" shrinkToFit="1"/>
    </xf>
    <xf numFmtId="0" fontId="114" fillId="86" borderId="17" xfId="1741" applyFont="1" applyFill="1" applyBorder="1" applyAlignment="1">
      <alignment horizontal="center" vertical="center" wrapText="1"/>
    </xf>
    <xf numFmtId="0" fontId="114" fillId="86" borderId="5" xfId="1741" applyFont="1" applyFill="1" applyBorder="1" applyAlignment="1">
      <alignment horizontal="center" vertical="center" wrapText="1"/>
    </xf>
    <xf numFmtId="0" fontId="114" fillId="86" borderId="29" xfId="1741" applyFont="1" applyFill="1" applyBorder="1" applyAlignment="1">
      <alignment horizontal="center" vertical="center" wrapText="1"/>
    </xf>
  </cellXfs>
  <cellStyles count="2760">
    <cellStyle name="_!ВСНК_CAPEX(м)_2008_план" xfId="1" xr:uid="{00000000-0005-0000-0000-000000000000}"/>
    <cellStyle name="_(Наименование ДО) Разделы 8.1.1.  8.1.2.  8.1.3.  к Макету Бизнес-плана" xfId="2" xr:uid="{00000000-0005-0000-0000-000001000000}"/>
    <cellStyle name="_(Наименование ДО) Разделы 8.1.1.  8.1.2.  8.1.3.  к Макету Бизнес-плана_Maket БП" xfId="3" xr:uid="{00000000-0005-0000-0000-000002000000}"/>
    <cellStyle name="_(Наименование ДО) Разделы 8.1.1.  8.1.2.  8.1.3.  к Макету Бизнес-плана_Копия выручки 2_161008" xfId="4" xr:uid="{00000000-0005-0000-0000-000003000000}"/>
    <cellStyle name="_(Наименование ДО) Разделы 8.1.1.  8.1.2.  8.1.3.  к Макету Бизнес-плана_Копия выручки 211" xfId="5" xr:uid="{00000000-0005-0000-0000-000004000000}"/>
    <cellStyle name="_(Наименование ДО) Разделы 8.1.1.  8.1.2.  8.1.3.  к Макету Бизнес-плана_РБ Ванкор 17" xfId="6" xr:uid="{00000000-0005-0000-0000-000005000000}"/>
    <cellStyle name="_(Наименование ДО) Разделы 8.1.1.  8.1.2.  8.1.3.  к Макету Бизнес-плана_РБ ВСНК 141108" xfId="7" xr:uid="{00000000-0005-0000-0000-000006000000}"/>
    <cellStyle name="_(Наименование ДО) Разделы 8.1.1.  8.1.2.  8.1.3.  к Макету Бизнес-плана_Стоимость Юр_81  РБ ЮТМ_в ЦАУ_221008" xfId="8" xr:uid="{00000000-0005-0000-0000-000007000000}"/>
    <cellStyle name="_(Наименование ДО) Разделы 8.1.1.  8.1.2.  8.1.3.  к Макету Бизнес-плана_ЭБ ВСНК" xfId="9" xr:uid="{00000000-0005-0000-0000-000008000000}"/>
    <cellStyle name="_(Наименование ДО) Разделы 8.1.1.  8.1.2.  8.1.3.  к Макету Бизнес-плана_ЭБ ВСНК ред 131108" xfId="10" xr:uid="{00000000-0005-0000-0000-000009000000}"/>
    <cellStyle name="__ 30" xfId="11" xr:uid="{00000000-0005-0000-0000-00000A000000}"/>
    <cellStyle name="__ 30_РБС ф-1" xfId="12" xr:uid="{00000000-0005-0000-0000-00000B000000}"/>
    <cellStyle name="__ 30_форма 2 - АЗС и склады" xfId="13" xr:uid="{00000000-0005-0000-0000-00000C000000}"/>
    <cellStyle name="__ 30_форма 2 - изм4+" xfId="14" xr:uid="{00000000-0005-0000-0000-00000D000000}"/>
    <cellStyle name="__Производство_2009_Факт" xfId="15" xr:uid="{00000000-0005-0000-0000-00000E000000}"/>
    <cellStyle name="_0002.1-Сметы-ГТП_Артскв. ЛЭС Лугинецкое" xfId="16" xr:uid="{00000000-0005-0000-0000-00000F000000}"/>
    <cellStyle name="_0062-Сметы_ГТП_ РВС 20000м3 №3 З-Сургут ЗС3" xfId="17" xr:uid="{00000000-0005-0000-0000-000010000000}"/>
    <cellStyle name="_0062-Сметы_ГТП_ РВС 20000м3 №3 З-Сургут ЗС3_форма 2 - изм4+" xfId="18" xr:uid="{00000000-0005-0000-0000-000011000000}"/>
    <cellStyle name="_0195 смета РВСП-20000 №9 Юргамыш ТЗ-479-09 (18 11 09) ЭПБ" xfId="19" xr:uid="{00000000-0005-0000-0000-000012000000}"/>
    <cellStyle name="_03.04.06г План КВ 2006г оборудование" xfId="20" xr:uid="{00000000-0005-0000-0000-000013000000}"/>
    <cellStyle name="_041 капвложения РМ февраль 2003" xfId="21" xr:uid="{00000000-0005-0000-0000-000014000000}"/>
    <cellStyle name="_041022 Шаблон по плану 2005 года" xfId="22" xr:uid="{00000000-0005-0000-0000-000015000000}"/>
    <cellStyle name="_07 Совм графики на тендер по лотам 1-7  1415" xfId="23" xr:uid="{00000000-0005-0000-0000-000016000000}"/>
    <cellStyle name="_1 день ура (version 1)" xfId="24" xr:uid="{00000000-0005-0000-0000-000017000000}"/>
    <cellStyle name="_1 квартал   2004 - 2005 гг   ПТО Сравнение." xfId="25" xr:uid="{00000000-0005-0000-0000-000018000000}"/>
    <cellStyle name="_1 Экспертиза ПБ" xfId="26" xr:uid="{00000000-0005-0000-0000-000019000000}"/>
    <cellStyle name="_1 Экспертиза ПБ_РБС ф-1" xfId="27" xr:uid="{00000000-0005-0000-0000-00001A000000}"/>
    <cellStyle name="_1 Экспертиза ПБ_форма 2 - АЗС и склады" xfId="28" xr:uid="{00000000-0005-0000-0000-00001B000000}"/>
    <cellStyle name="_1 Экспертиза ПБ_форма 2 - изм4+" xfId="29" xr:uid="{00000000-0005-0000-0000-00001C000000}"/>
    <cellStyle name="_10.1 Эффект деят-ти" xfId="30" xr:uid="{00000000-0005-0000-0000-00001D000000}"/>
    <cellStyle name="_10.1 Эффект деят-ти_02.02 Согласовано Смета АЗС склад  (0002-И-ЦУП ВСТО)" xfId="31" xr:uid="{00000000-0005-0000-0000-00001E000000}"/>
    <cellStyle name="_10.1 Эффект деят-ти_Согласовано с УЦК  Инж. защ." xfId="32" xr:uid="{00000000-0005-0000-0000-00001F000000}"/>
    <cellStyle name="_10078 смета" xfId="33" xr:uid="{00000000-0005-0000-0000-000020000000}"/>
    <cellStyle name="_11028-будет корректировка!!!" xfId="34" xr:uid="{00000000-0005-0000-0000-000021000000}"/>
    <cellStyle name="_11052 смета РВС-5000 №1 Чекмагуш ТЗ-493-09 (02 12 09) Шаклейн" xfId="35" xr:uid="{00000000-0005-0000-0000-000022000000}"/>
    <cellStyle name="_12004 смета Замена Салават-Орск ТЗ-122-10 (06.04.2010)" xfId="36" xr:uid="{00000000-0005-0000-0000-000023000000}"/>
    <cellStyle name="_14. МТО" xfId="37" xr:uid="{00000000-0005-0000-0000-000024000000}"/>
    <cellStyle name="_15 16  БП 2008-2012" xfId="38" xr:uid="{00000000-0005-0000-0000-000025000000}"/>
    <cellStyle name="_15 16  БП 2008-2012_Maket БП" xfId="39" xr:uid="{00000000-0005-0000-0000-000026000000}"/>
    <cellStyle name="_15 16  БП 2008-2012_Копия выручки 2_161008" xfId="40" xr:uid="{00000000-0005-0000-0000-000027000000}"/>
    <cellStyle name="_15 16  БП 2008-2012_Копия выручки 211" xfId="41" xr:uid="{00000000-0005-0000-0000-000028000000}"/>
    <cellStyle name="_15 16  БП 2008-2012_РБ Ванкор 17" xfId="42" xr:uid="{00000000-0005-0000-0000-000029000000}"/>
    <cellStyle name="_15 16  БП 2008-2012_РБ ВСНК 141108" xfId="43" xr:uid="{00000000-0005-0000-0000-00002A000000}"/>
    <cellStyle name="_15 16  БП 2008-2012_Стоимость Юр_81  РБ ЮТМ_в ЦАУ_221008" xfId="44" xr:uid="{00000000-0005-0000-0000-00002B000000}"/>
    <cellStyle name="_15 16  БП 2008-2012_ЭБ ВСНК" xfId="45" xr:uid="{00000000-0005-0000-0000-00002C000000}"/>
    <cellStyle name="_15 16  БП 2008-2012_ЭБ ВСНК ред 131108" xfId="46" xr:uid="{00000000-0005-0000-0000-00002D000000}"/>
    <cellStyle name="_15 Пром безопасность 2008-2012" xfId="47" xr:uid="{00000000-0005-0000-0000-00002E000000}"/>
    <cellStyle name="_15 Пром безопасность 2008-2012_Maket БП" xfId="48" xr:uid="{00000000-0005-0000-0000-00002F000000}"/>
    <cellStyle name="_15 Пром безопасность 2008-2012_Копия выручки 2_161008" xfId="49" xr:uid="{00000000-0005-0000-0000-000030000000}"/>
    <cellStyle name="_15 Пром безопасность 2008-2012_Копия выручки 211" xfId="50" xr:uid="{00000000-0005-0000-0000-000031000000}"/>
    <cellStyle name="_15 Пром безопасность 2008-2012_РБ Ванкор 17" xfId="51" xr:uid="{00000000-0005-0000-0000-000032000000}"/>
    <cellStyle name="_15 Пром безопасность 2008-2012_РБ ВСНК 141108" xfId="52" xr:uid="{00000000-0005-0000-0000-000033000000}"/>
    <cellStyle name="_15 Пром безопасность 2008-2012_Стоимость Юр_81  РБ ЮТМ_в ЦАУ_221008" xfId="53" xr:uid="{00000000-0005-0000-0000-000034000000}"/>
    <cellStyle name="_15 Пром безопасность 2008-2012_ЭБ ВСНК" xfId="54" xr:uid="{00000000-0005-0000-0000-000035000000}"/>
    <cellStyle name="_15 Пром безопасность 2008-2012_ЭБ ВСНК ред 131108" xfId="55" xr:uid="{00000000-0005-0000-0000-000036000000}"/>
    <cellStyle name="_15 раздел" xfId="56" xr:uid="{00000000-0005-0000-0000-000037000000}"/>
    <cellStyle name="_15 раздел_Maket БП" xfId="57" xr:uid="{00000000-0005-0000-0000-000038000000}"/>
    <cellStyle name="_15 раздел_Копия выручки 2_161008" xfId="58" xr:uid="{00000000-0005-0000-0000-000039000000}"/>
    <cellStyle name="_15 раздел_Копия выручки 211" xfId="59" xr:uid="{00000000-0005-0000-0000-00003A000000}"/>
    <cellStyle name="_15 раздел_РБ Ванкор 17" xfId="60" xr:uid="{00000000-0005-0000-0000-00003B000000}"/>
    <cellStyle name="_15 раздел_РБ ВСНК 141108" xfId="61" xr:uid="{00000000-0005-0000-0000-00003C000000}"/>
    <cellStyle name="_15 раздел_Стоимость Юр_81  РБ ЮТМ_в ЦАУ_221008" xfId="62" xr:uid="{00000000-0005-0000-0000-00003D000000}"/>
    <cellStyle name="_15 раздел_ЭБ ВСНК" xfId="63" xr:uid="{00000000-0005-0000-0000-00003E000000}"/>
    <cellStyle name="_15 раздел_ЭБ ВСНК ред 131108" xfId="64" xr:uid="{00000000-0005-0000-0000-00003F000000}"/>
    <cellStyle name="_170 млн." xfId="65" xr:uid="{00000000-0005-0000-0000-000040000000}"/>
    <cellStyle name="_1Финансирование 2006 г. КВ ОНСС  рабочий вариант!!!" xfId="66" xr:uid="{00000000-0005-0000-0000-000041000000}"/>
    <cellStyle name="_2 Экспертиза ПБ" xfId="67" xr:uid="{00000000-0005-0000-0000-000042000000}"/>
    <cellStyle name="_2 Экспертиза ПБ_РБС ф-1" xfId="68" xr:uid="{00000000-0005-0000-0000-000043000000}"/>
    <cellStyle name="_2 Экспертиза ПБ_форма 2 - АЗС и склады" xfId="69" xr:uid="{00000000-0005-0000-0000-000044000000}"/>
    <cellStyle name="_2 Экспертиза ПБ_форма 2 - изм4+" xfId="70" xr:uid="{00000000-0005-0000-0000-000045000000}"/>
    <cellStyle name="_2004-2010" xfId="71" xr:uid="{00000000-0005-0000-0000-000046000000}"/>
    <cellStyle name="_2004-2010 Ноглинск.ф-л правка п.4.2" xfId="72" xr:uid="{00000000-0005-0000-0000-000047000000}"/>
    <cellStyle name="_24 04 06г План КВ 2006г по ОНСС" xfId="73" xr:uid="{00000000-0005-0000-0000-000048000000}"/>
    <cellStyle name="_2ГТП_СТО Сокур 200 маш - СТНП (2)" xfId="74" xr:uid="{00000000-0005-0000-0000-000049000000}"/>
    <cellStyle name="_3_Уст-ка вьездных ворот 10 04 2010 (3)" xfId="75" xr:uid="{00000000-0005-0000-0000-00004A000000}"/>
    <cellStyle name="_384" xfId="76" xr:uid="{00000000-0005-0000-0000-00004B000000}"/>
    <cellStyle name="_384_РБС ф-1" xfId="77" xr:uid="{00000000-0005-0000-0000-00004C000000}"/>
    <cellStyle name="_384_форма 2 - АЗС и склады" xfId="78" xr:uid="{00000000-0005-0000-0000-00004D000000}"/>
    <cellStyle name="_384_форма 2 - изм4+" xfId="79" xr:uid="{00000000-0005-0000-0000-00004E000000}"/>
    <cellStyle name="_385" xfId="80" xr:uid="{00000000-0005-0000-0000-00004F000000}"/>
    <cellStyle name="_385_РБС ф-1" xfId="81" xr:uid="{00000000-0005-0000-0000-000050000000}"/>
    <cellStyle name="_385_форма 2 - АЗС и склады" xfId="82" xr:uid="{00000000-0005-0000-0000-000051000000}"/>
    <cellStyle name="_385_форма 2 - изм4+" xfId="83" xr:uid="{00000000-0005-0000-0000-000052000000}"/>
    <cellStyle name="_3ГТП_Сметы_Сетово-2.  28 08 09 пров  ОМиКЦ   2" xfId="84" xr:uid="{00000000-0005-0000-0000-000053000000}"/>
    <cellStyle name="_6 2 1 Прочие произв услуги на 2008г " xfId="85" xr:uid="{00000000-0005-0000-0000-000054000000}"/>
    <cellStyle name="_8 2 (2)" xfId="86" xr:uid="{00000000-0005-0000-0000-000055000000}"/>
    <cellStyle name="_8 2 (2)_Maket БП" xfId="87" xr:uid="{00000000-0005-0000-0000-000056000000}"/>
    <cellStyle name="_8 2 (2)_Копия выручки 2_161008" xfId="88" xr:uid="{00000000-0005-0000-0000-000057000000}"/>
    <cellStyle name="_8 2 (2)_Копия выручки 211" xfId="89" xr:uid="{00000000-0005-0000-0000-000058000000}"/>
    <cellStyle name="_8 2 (2)_РБ Ванкор 17" xfId="90" xr:uid="{00000000-0005-0000-0000-000059000000}"/>
    <cellStyle name="_8 2 (2)_РБ ВСНК 141108" xfId="91" xr:uid="{00000000-0005-0000-0000-00005A000000}"/>
    <cellStyle name="_8 2 (2)_Стоимость Юр_81  РБ ЮТМ_в ЦАУ_221008" xfId="92" xr:uid="{00000000-0005-0000-0000-00005B000000}"/>
    <cellStyle name="_8 2 (2)_ЭБ ВСНК" xfId="93" xr:uid="{00000000-0005-0000-0000-00005C000000}"/>
    <cellStyle name="_8 2 (2)_ЭБ ВСНК ред 131108" xfId="94" xr:uid="{00000000-0005-0000-0000-00005D000000}"/>
    <cellStyle name="_9,14,8,2 раздел Губкинский КОРЕКТИРОВКА от 26.06.08" xfId="95" xr:uid="{00000000-0005-0000-0000-00005E000000}"/>
    <cellStyle name="_9,14,8,2 раздел Губкинский КОРЕКТИРОВКА от 27.06.08" xfId="96" xr:uid="{00000000-0005-0000-0000-00005F000000}"/>
    <cellStyle name="_9. CAPEX" xfId="97" xr:uid="{00000000-0005-0000-0000-000060000000}"/>
    <cellStyle name="_ATM over SDH" xfId="98" xr:uid="{00000000-0005-0000-0000-000061000000}"/>
    <cellStyle name="_ATM over SDH_РБС ф-1" xfId="99" xr:uid="{00000000-0005-0000-0000-000062000000}"/>
    <cellStyle name="_ATM over SDH_форма 2 - АЗС и склады" xfId="100" xr:uid="{00000000-0005-0000-0000-000063000000}"/>
    <cellStyle name="_ATM over SDH_форма 2 - изм4+" xfId="101" xr:uid="{00000000-0005-0000-0000-000064000000}"/>
    <cellStyle name="_CAPEX" xfId="102" xr:uid="{00000000-0005-0000-0000-000065000000}"/>
    <cellStyle name="_Copy of Смета на пуско-наладку" xfId="103" xr:uid="{00000000-0005-0000-0000-000066000000}"/>
    <cellStyle name="_Cp_E250 &amp; E450 _01" xfId="104" xr:uid="{00000000-0005-0000-0000-000067000000}"/>
    <cellStyle name="_Cp_E250 &amp; E450 _01_РБС ф-1" xfId="105" xr:uid="{00000000-0005-0000-0000-000068000000}"/>
    <cellStyle name="_Cp_E250 &amp; E450 _01_форма 2 - АЗС и склады" xfId="106" xr:uid="{00000000-0005-0000-0000-000069000000}"/>
    <cellStyle name="_Cp_E250 &amp; E450 _01_форма 2 - изм4+" xfId="107" xr:uid="{00000000-0005-0000-0000-00006A000000}"/>
    <cellStyle name="_GUB fact1" xfId="108" xr:uid="{00000000-0005-0000-0000-00006B000000}"/>
    <cellStyle name="_IT-SCS" xfId="109" xr:uid="{00000000-0005-0000-0000-00006C000000}"/>
    <cellStyle name="_IT-SCS_РБС ф-1" xfId="110" xr:uid="{00000000-0005-0000-0000-00006D000000}"/>
    <cellStyle name="_IT-SCS_форма 2 - АЗС и склады" xfId="111" xr:uid="{00000000-0005-0000-0000-00006E000000}"/>
    <cellStyle name="_IT-SCS_форма 2 - изм4+" xfId="112" xr:uid="{00000000-0005-0000-0000-00006F000000}"/>
    <cellStyle name="_kom" xfId="113" xr:uid="{00000000-0005-0000-0000-000070000000}"/>
    <cellStyle name="_LAN 23-10" xfId="114" xr:uid="{00000000-0005-0000-0000-000071000000}"/>
    <cellStyle name="_LAN 23-10_РБС ф-1" xfId="115" xr:uid="{00000000-0005-0000-0000-000072000000}"/>
    <cellStyle name="_LAN 23-10_форма 2 - АЗС и склады" xfId="116" xr:uid="{00000000-0005-0000-0000-000073000000}"/>
    <cellStyle name="_LAN 23-10_форма 2 - изм4+" xfId="117" xr:uid="{00000000-0005-0000-0000-000074000000}"/>
    <cellStyle name="_LVS" xfId="118" xr:uid="{00000000-0005-0000-0000-000075000000}"/>
    <cellStyle name="_LVS_РБС ф-1" xfId="119" xr:uid="{00000000-0005-0000-0000-000076000000}"/>
    <cellStyle name="_LVS_форма 2 - АЗС и склады" xfId="120" xr:uid="{00000000-0005-0000-0000-000077000000}"/>
    <cellStyle name="_LVS_форма 2 - изм4+" xfId="121" xr:uid="{00000000-0005-0000-0000-000078000000}"/>
    <cellStyle name="_Maket CAPEX" xfId="122" xr:uid="{00000000-0005-0000-0000-000079000000}"/>
    <cellStyle name="_Maket GUB" xfId="123" xr:uid="{00000000-0005-0000-0000-00007A000000}"/>
    <cellStyle name="_Maket GUB(кор)" xfId="124" xr:uid="{00000000-0005-0000-0000-00007B000000}"/>
    <cellStyle name="_Maket GUB(кор)_Maket БП" xfId="125" xr:uid="{00000000-0005-0000-0000-00007C000000}"/>
    <cellStyle name="_Maket GUB(кор)_Копия выручки 2_161008" xfId="126" xr:uid="{00000000-0005-0000-0000-00007D000000}"/>
    <cellStyle name="_Maket GUB(кор)_Копия выручки 211" xfId="127" xr:uid="{00000000-0005-0000-0000-00007E000000}"/>
    <cellStyle name="_Maket GUB(кор)_РБ Ванкор 17" xfId="128" xr:uid="{00000000-0005-0000-0000-00007F000000}"/>
    <cellStyle name="_Maket GUB(кор)_РБ ВСНК 141108" xfId="129" xr:uid="{00000000-0005-0000-0000-000080000000}"/>
    <cellStyle name="_Maket GUB(кор)_Стоимость Юр_81  РБ ЮТМ_в ЦАУ_221008" xfId="130" xr:uid="{00000000-0005-0000-0000-000081000000}"/>
    <cellStyle name="_Maket GUB(кор)_ЭБ ВСНК" xfId="131" xr:uid="{00000000-0005-0000-0000-000082000000}"/>
    <cellStyle name="_Maket GUB(кор)_ЭБ ВСНК ред 131108" xfId="132" xr:uid="{00000000-0005-0000-0000-000083000000}"/>
    <cellStyle name="_Maket GUB_Maket БП" xfId="133" xr:uid="{00000000-0005-0000-0000-000084000000}"/>
    <cellStyle name="_Maket GUB_Копия выручки 2_161008" xfId="134" xr:uid="{00000000-0005-0000-0000-000085000000}"/>
    <cellStyle name="_Maket GUB_Копия выручки 211" xfId="135" xr:uid="{00000000-0005-0000-0000-000086000000}"/>
    <cellStyle name="_Maket GUB_РБ Ванкор 17" xfId="136" xr:uid="{00000000-0005-0000-0000-000087000000}"/>
    <cellStyle name="_Maket GUB_РБ ВСНК 141108" xfId="137" xr:uid="{00000000-0005-0000-0000-000088000000}"/>
    <cellStyle name="_Maket GUB_Стоимость Юр_81  РБ ЮТМ_в ЦАУ_221008" xfId="138" xr:uid="{00000000-0005-0000-0000-000089000000}"/>
    <cellStyle name="_Maket GUB_ЭБ ВСНК" xfId="139" xr:uid="{00000000-0005-0000-0000-00008A000000}"/>
    <cellStyle name="_Maket GUB_ЭБ ВСНК ред 131108" xfId="140" xr:uid="{00000000-0005-0000-0000-00008B000000}"/>
    <cellStyle name="_Maket NFU" xfId="141" xr:uid="{00000000-0005-0000-0000-00008C000000}"/>
    <cellStyle name="_Maket NFU  642т.м.с изм.страхования (version 1)" xfId="142" xr:uid="{00000000-0005-0000-0000-00008D000000}"/>
    <cellStyle name="_Maket NFU  642т.м.с изм.страхования (version 1)_Maket БП" xfId="143" xr:uid="{00000000-0005-0000-0000-00008E000000}"/>
    <cellStyle name="_Maket NFU  642т.м.с изм.страхования (version 1)_Копия выручки 2_161008" xfId="144" xr:uid="{00000000-0005-0000-0000-00008F000000}"/>
    <cellStyle name="_Maket NFU  642т.м.с изм.страхования (version 1)_Копия выручки 211" xfId="145" xr:uid="{00000000-0005-0000-0000-000090000000}"/>
    <cellStyle name="_Maket NFU  642т.м.с изм.страхования (version 1)_РБ Ванкор 17" xfId="146" xr:uid="{00000000-0005-0000-0000-000091000000}"/>
    <cellStyle name="_Maket NFU  642т.м.с изм.страхования (version 1)_РБ ВСНК 141108" xfId="147" xr:uid="{00000000-0005-0000-0000-000092000000}"/>
    <cellStyle name="_Maket NFU  642т.м.с изм.страхования (version 1)_Стоимость Юр_81  РБ ЮТМ_в ЦАУ_221008" xfId="148" xr:uid="{00000000-0005-0000-0000-000093000000}"/>
    <cellStyle name="_Maket NFU  642т.м.с изм.страхования (version 1)_ЭБ ВСНК" xfId="149" xr:uid="{00000000-0005-0000-0000-000094000000}"/>
    <cellStyle name="_Maket NFU  642т.м.с изм.страхования (version 1)_ЭБ ВСНК ред 131108" xfId="150" xr:uid="{00000000-0005-0000-0000-000095000000}"/>
    <cellStyle name="_Maket NFU  с изм соц программой" xfId="151" xr:uid="{00000000-0005-0000-0000-000096000000}"/>
    <cellStyle name="_Maket NFU_Maket БП" xfId="152" xr:uid="{00000000-0005-0000-0000-000097000000}"/>
    <cellStyle name="_Maket NFU_Копия выручки 2_161008" xfId="153" xr:uid="{00000000-0005-0000-0000-000098000000}"/>
    <cellStyle name="_Maket NFU_Копия выручки 211" xfId="154" xr:uid="{00000000-0005-0000-0000-000099000000}"/>
    <cellStyle name="_Maket NFU_РБ Ванкор 17" xfId="155" xr:uid="{00000000-0005-0000-0000-00009A000000}"/>
    <cellStyle name="_Maket NFU_РБ ВСНК 141108" xfId="156" xr:uid="{00000000-0005-0000-0000-00009B000000}"/>
    <cellStyle name="_Maket NFU_Стоимость Юр_81  РБ ЮТМ_в ЦАУ_221008" xfId="157" xr:uid="{00000000-0005-0000-0000-00009C000000}"/>
    <cellStyle name="_Maket NFU_ЭБ ВСНК" xfId="158" xr:uid="{00000000-0005-0000-0000-00009D000000}"/>
    <cellStyle name="_Maket NFU_ЭБ ВСНК ред 131108" xfId="159" xr:uid="{00000000-0005-0000-0000-00009E000000}"/>
    <cellStyle name="_Maket P&amp;L(1)" xfId="160" xr:uid="{00000000-0005-0000-0000-00009F000000}"/>
    <cellStyle name="_MTR" xfId="161" xr:uid="{00000000-0005-0000-0000-0000A0000000}"/>
    <cellStyle name="_NOVOSIB6" xfId="162" xr:uid="{00000000-0005-0000-0000-0000A1000000}"/>
    <cellStyle name="_Pr_Dyg60" xfId="163" xr:uid="{00000000-0005-0000-0000-0000A2000000}"/>
    <cellStyle name="_Pr_Dyg60_РБС ф-1" xfId="164" xr:uid="{00000000-0005-0000-0000-0000A3000000}"/>
    <cellStyle name="_Pr_Dyg60_форма 2 - АЗС и склады" xfId="165" xr:uid="{00000000-0005-0000-0000-0000A4000000}"/>
    <cellStyle name="_Pr_Dyg60_форма 2 - изм4+" xfId="166" xr:uid="{00000000-0005-0000-0000-0000A5000000}"/>
    <cellStyle name="_Q43339_RMD_AVT-6_MNPZ" xfId="167" xr:uid="{00000000-0005-0000-0000-0000A6000000}"/>
    <cellStyle name="_S3105_050603_new" xfId="168" xr:uid="{00000000-0005-0000-0000-0000A7000000}"/>
    <cellStyle name="_S3105_050603_new_РБС ф-1" xfId="169" xr:uid="{00000000-0005-0000-0000-0000A8000000}"/>
    <cellStyle name="_S3105_050603_new_форма 2 - АЗС и склады" xfId="170" xr:uid="{00000000-0005-0000-0000-0000A9000000}"/>
    <cellStyle name="_S3105_050603_new_форма 2 - изм4+" xfId="171" xr:uid="{00000000-0005-0000-0000-0000AA000000}"/>
    <cellStyle name="_sbros2" xfId="172" xr:uid="{00000000-0005-0000-0000-0000AB000000}"/>
    <cellStyle name="_SCS_ECS_LVS" xfId="173" xr:uid="{00000000-0005-0000-0000-0000AC000000}"/>
    <cellStyle name="_SCS_ECS_LVS_РБС ф-1" xfId="174" xr:uid="{00000000-0005-0000-0000-0000AD000000}"/>
    <cellStyle name="_SCS_ECS_LVS_форма 2 - АЗС и склады" xfId="175" xr:uid="{00000000-0005-0000-0000-0000AE000000}"/>
    <cellStyle name="_SCS_ECS_LVS_форма 2 - изм4+" xfId="176" xr:uid="{00000000-0005-0000-0000-0000AF000000}"/>
    <cellStyle name="_smr_rostov (1)" xfId="177" xr:uid="{00000000-0005-0000-0000-0000B0000000}"/>
    <cellStyle name="_SmResSchort1" xfId="178" xr:uid="{00000000-0005-0000-0000-0000B1000000}"/>
    <cellStyle name="_SmResSchort1_РБС ф-1" xfId="179" xr:uid="{00000000-0005-0000-0000-0000B2000000}"/>
    <cellStyle name="_SmResSchort1_форма 2 - АЗС и склады" xfId="180" xr:uid="{00000000-0005-0000-0000-0000B3000000}"/>
    <cellStyle name="_SmResSchort1_форма 2 - изм4+" xfId="181" xr:uid="{00000000-0005-0000-0000-0000B4000000}"/>
    <cellStyle name="_Spec" xfId="182" xr:uid="{00000000-0005-0000-0000-0000B5000000}"/>
    <cellStyle name="_Spec_РБС ф-1" xfId="183" xr:uid="{00000000-0005-0000-0000-0000B6000000}"/>
    <cellStyle name="_Spec_форма 2 - АЗС и склады" xfId="184" xr:uid="{00000000-0005-0000-0000-0000B7000000}"/>
    <cellStyle name="_Spec_форма 2 - изм4+" xfId="185" xr:uid="{00000000-0005-0000-0000-0000B8000000}"/>
    <cellStyle name="_Struct" xfId="186" xr:uid="{00000000-0005-0000-0000-0000B9000000}"/>
    <cellStyle name="_u-yng-03-05-099" xfId="187" xr:uid="{00000000-0005-0000-0000-0000BA000000}"/>
    <cellStyle name="_Абино-Украинская скв. №436  2008 г РН-КНГ  для ДБСТиС от 06.11.07" xfId="188" xr:uid="{00000000-0005-0000-0000-0000BB000000}"/>
    <cellStyle name="_Амортизация  2008" xfId="189" xr:uid="{00000000-0005-0000-0000-0000BC000000}"/>
    <cellStyle name="_Амортизация  СВП  ВН 2007-2008" xfId="190" xr:uid="{00000000-0005-0000-0000-0000BD000000}"/>
    <cellStyle name="_Анализ роста ср.зар.платы 2008-2012 гг" xfId="191" xr:uid="{00000000-0005-0000-0000-0000BE000000}"/>
    <cellStyle name="_Анализ себестоим." xfId="192" xr:uid="{00000000-0005-0000-0000-0000BF000000}"/>
    <cellStyle name="_Анализ стоимости проходки" xfId="193" xr:uid="{00000000-0005-0000-0000-0000C0000000}"/>
    <cellStyle name="_Бизнес план 2006 г" xfId="194" xr:uid="{00000000-0005-0000-0000-0000C1000000}"/>
    <cellStyle name="_Бизнес план 2006 г_Разделы 14, 8(1).2, 9  БП РН-Бурение 2008-2012 (ВАНКОР)" xfId="195" xr:uid="{00000000-0005-0000-0000-0000C2000000}"/>
    <cellStyle name="_Бизнес-план ПНГ-бурение" xfId="196" xr:uid="{00000000-0005-0000-0000-0000C3000000}"/>
    <cellStyle name="_Бизнес-план РН-Бурение копия3" xfId="197" xr:uid="{00000000-0005-0000-0000-0000C4000000}"/>
    <cellStyle name="_Бизнес-план РН-Бурение копия3_Разделы 14, 8(1).2, 9  БП РН-Бурение 2008-2012 (ВАНКОР)" xfId="198" xr:uid="{00000000-0005-0000-0000-0000C5000000}"/>
    <cellStyle name="_Бланк 3п ГТП" xfId="199" xr:uid="{00000000-0005-0000-0000-0000C6000000}"/>
    <cellStyle name="_Блок бокс ЛПДС Чепурского" xfId="200" xr:uid="{00000000-0005-0000-0000-0000C7000000}"/>
    <cellStyle name="_БП 2008 2012 от 14.12.07  второй" xfId="201" xr:uid="{00000000-0005-0000-0000-0000C8000000}"/>
    <cellStyle name="_БП 2008 базовый вар." xfId="202" xr:uid="{00000000-0005-0000-0000-0000C9000000}"/>
    <cellStyle name="_БП 2008-2012 гг" xfId="203" xr:uid="{00000000-0005-0000-0000-0000CA000000}"/>
    <cellStyle name="_БП 2008-2012 гг_Maket БП" xfId="204" xr:uid="{00000000-0005-0000-0000-0000CB000000}"/>
    <cellStyle name="_БП 2008-2012 гг_Копия выручки 2_161008" xfId="205" xr:uid="{00000000-0005-0000-0000-0000CC000000}"/>
    <cellStyle name="_БП 2008-2012 гг_Копия выручки 211" xfId="206" xr:uid="{00000000-0005-0000-0000-0000CD000000}"/>
    <cellStyle name="_БП 2008-2012 гг_РБ Ванкор 17" xfId="207" xr:uid="{00000000-0005-0000-0000-0000CE000000}"/>
    <cellStyle name="_БП 2008-2012 гг_РБ ВСНК 141108" xfId="208" xr:uid="{00000000-0005-0000-0000-0000CF000000}"/>
    <cellStyle name="_БП 2008-2012 гг_Стоимость Юр_81  РБ ЮТМ_в ЦАУ_221008" xfId="209" xr:uid="{00000000-0005-0000-0000-0000D0000000}"/>
    <cellStyle name="_БП 2008-2012 гг_ЭБ ВСНК" xfId="210" xr:uid="{00000000-0005-0000-0000-0000D1000000}"/>
    <cellStyle name="_БП 2008-2012 гг_ЭБ ВСНК ред 131108" xfId="211" xr:uid="{00000000-0005-0000-0000-0000D2000000}"/>
    <cellStyle name="_БП-2010" xfId="212" xr:uid="{00000000-0005-0000-0000-0000D3000000}"/>
    <cellStyle name="_Братск_S3182_общ_" xfId="213" xr:uid="{00000000-0005-0000-0000-0000D4000000}"/>
    <cellStyle name="_Братск_S3182_общ__РБС ф-1" xfId="214" xr:uid="{00000000-0005-0000-0000-0000D5000000}"/>
    <cellStyle name="_Братск_S3182_общ__форма 2 - АЗС и склады" xfId="215" xr:uid="{00000000-0005-0000-0000-0000D6000000}"/>
    <cellStyle name="_Братск_S3182_общ__форма 2 - изм4+" xfId="216" xr:uid="{00000000-0005-0000-0000-0000D7000000}"/>
    <cellStyle name="_БТС-2 изм 11" xfId="217" xr:uid="{00000000-0005-0000-0000-0000D8000000}"/>
    <cellStyle name="_БТС-2 изм 11(суб)" xfId="218" xr:uid="{00000000-0005-0000-0000-0000D9000000}"/>
    <cellStyle name="_Бурение (расчет 1-вариант)" xfId="219" xr:uid="{00000000-0005-0000-0000-0000DA000000}"/>
    <cellStyle name="_Бурение (расчет 1-вариант)_Maket БП" xfId="220" xr:uid="{00000000-0005-0000-0000-0000DB000000}"/>
    <cellStyle name="_Бурение (расчет 1-вариант)_Копия выручки 2_161008" xfId="221" xr:uid="{00000000-0005-0000-0000-0000DC000000}"/>
    <cellStyle name="_Бурение (расчет 1-вариант)_Копия выручки 211" xfId="222" xr:uid="{00000000-0005-0000-0000-0000DD000000}"/>
    <cellStyle name="_Бурение (расчет 1-вариант)_РБ Ванкор 17" xfId="223" xr:uid="{00000000-0005-0000-0000-0000DE000000}"/>
    <cellStyle name="_Бурение (расчет 1-вариант)_РБ ВСНК 141108" xfId="224" xr:uid="{00000000-0005-0000-0000-0000DF000000}"/>
    <cellStyle name="_Бурение (расчет 1-вариант)_Стоимость Юр_81  РБ ЮТМ_в ЦАУ_221008" xfId="225" xr:uid="{00000000-0005-0000-0000-0000E0000000}"/>
    <cellStyle name="_Бурение (расчет 1-вариант)_ЭБ ВСНК" xfId="226" xr:uid="{00000000-0005-0000-0000-0000E1000000}"/>
    <cellStyle name="_Бурение (расчет 1-вариант)_ЭБ ВСНК ред 131108" xfId="227" xr:uid="{00000000-0005-0000-0000-0000E2000000}"/>
    <cellStyle name="_бурение на 337 скв. 21.04.04 (к защите 23.04.04)" xfId="228" xr:uid="{00000000-0005-0000-0000-0000E3000000}"/>
    <cellStyle name="_Бурение(расчет)измен" xfId="229" xr:uid="{00000000-0005-0000-0000-0000E4000000}"/>
    <cellStyle name="_Бурение(расчет)измен_Maket БП" xfId="230" xr:uid="{00000000-0005-0000-0000-0000E5000000}"/>
    <cellStyle name="_Бурение(расчет)измен_Копия выручки 2_161008" xfId="231" xr:uid="{00000000-0005-0000-0000-0000E6000000}"/>
    <cellStyle name="_Бурение(расчет)измен_Копия выручки 211" xfId="232" xr:uid="{00000000-0005-0000-0000-0000E7000000}"/>
    <cellStyle name="_Бурение(расчет)измен_РБ Ванкор 17" xfId="233" xr:uid="{00000000-0005-0000-0000-0000E8000000}"/>
    <cellStyle name="_Бурение(расчет)измен_РБ ВСНК 141108" xfId="234" xr:uid="{00000000-0005-0000-0000-0000E9000000}"/>
    <cellStyle name="_Бурение(расчет)измен_Стоимость Юр_81  РБ ЮТМ_в ЦАУ_221008" xfId="235" xr:uid="{00000000-0005-0000-0000-0000EA000000}"/>
    <cellStyle name="_Бурение(расчет)измен_ЭБ ВСНК" xfId="236" xr:uid="{00000000-0005-0000-0000-0000EB000000}"/>
    <cellStyle name="_Бурение(расчет)измен_ЭБ ВСНК ред 131108" xfId="237" xr:uid="{00000000-0005-0000-0000-0000EC000000}"/>
    <cellStyle name="_Бюджет " xfId="238" xr:uid="{00000000-0005-0000-0000-0000ED000000}"/>
    <cellStyle name="_Бюджет 03" xfId="239" xr:uid="{00000000-0005-0000-0000-0000EE000000}"/>
    <cellStyle name="_Бюджет 04" xfId="240" xr:uid="{00000000-0005-0000-0000-0000EF000000}"/>
    <cellStyle name="_Бюджет ННГФ июль" xfId="241" xr:uid="{00000000-0005-0000-0000-0000F0000000}"/>
    <cellStyle name="_ВЛ  110 кВ   (январь)" xfId="242" xr:uid="{00000000-0005-0000-0000-0000F1000000}"/>
    <cellStyle name="_ВЛ-6кВ куст 20  (февраль)  дог. № 18 06 от 09 10.06г." xfId="243" xr:uid="{00000000-0005-0000-0000-0000F2000000}"/>
    <cellStyle name="_ВМР и ОС" xfId="244" xr:uid="{00000000-0005-0000-0000-0000F3000000}"/>
    <cellStyle name="_Волна давления" xfId="245" xr:uid="{00000000-0005-0000-0000-0000F4000000}"/>
    <cellStyle name="_Все системы 2" xfId="246" xr:uid="{00000000-0005-0000-0000-0000F5000000}"/>
    <cellStyle name="_Все системы 2_РБС ф-1" xfId="247" xr:uid="{00000000-0005-0000-0000-0000F6000000}"/>
    <cellStyle name="_Все системы 2_форма 2 - АЗС и склады" xfId="248" xr:uid="{00000000-0005-0000-0000-0000F7000000}"/>
    <cellStyle name="_Все системы 2_форма 2 - изм4+" xfId="249" xr:uid="{00000000-0005-0000-0000-0000F8000000}"/>
    <cellStyle name="_ВСНК" xfId="250" xr:uid="{00000000-0005-0000-0000-0000F9000000}"/>
    <cellStyle name="_ВСНК_HR_2008-2012_план3" xfId="251" xr:uid="{00000000-0005-0000-0000-0000FA000000}"/>
    <cellStyle name="_ВЧ связь Крапива(июнь)l" xfId="252" xr:uid="{00000000-0005-0000-0000-0000FB000000}"/>
    <cellStyle name="_Выр ББС" xfId="253" xr:uid="{00000000-0005-0000-0000-0000FC000000}"/>
    <cellStyle name="_Выручка 2008_Данису" xfId="254" xr:uid="{00000000-0005-0000-0000-0000FD000000}"/>
    <cellStyle name="_ВЫРУЧКА ГФ 2007 г." xfId="255" xr:uid="{00000000-0005-0000-0000-0000FE000000}"/>
    <cellStyle name="_ВЫРУЧКА ГФ 2007 г._Книга1" xfId="256" xr:uid="{00000000-0005-0000-0000-0000FF000000}"/>
    <cellStyle name="_ВЫРУЧКА ГФ 2007 г._Книга1_Анализ_СС тендер 09 свод" xfId="257" xr:uid="{00000000-0005-0000-0000-000000010000}"/>
    <cellStyle name="_ВЫРУЧКА ГФ 2007 г._Книга1_Анализ_СС тендер 09 свод_копия для доработки_090908" xfId="258" xr:uid="{00000000-0005-0000-0000-000001010000}"/>
    <cellStyle name="_ВЫРУЧКА ГФ 2007 г._Книга1_Копия выручки 2_161008" xfId="259" xr:uid="{00000000-0005-0000-0000-000002010000}"/>
    <cellStyle name="_ВЫРУЧКА ГФ 2007 г._Книга1_Копия выручки 211" xfId="260" xr:uid="{00000000-0005-0000-0000-000003010000}"/>
    <cellStyle name="_ВЫРУЧКА ГФ 2007 г._Книга1_РБ Ванкор 17" xfId="261" xr:uid="{00000000-0005-0000-0000-000004010000}"/>
    <cellStyle name="_ВЫРУЧКА ГФ 2007 г._Книга1_РБ ВСНК 141108" xfId="262" xr:uid="{00000000-0005-0000-0000-000005010000}"/>
    <cellStyle name="_ВЫРУЧКА ГФ 2007 г._Книга1_Стоимость Юр_81  РБ ЮТМ_в ЦАУ_221008" xfId="263" xr:uid="{00000000-0005-0000-0000-000006010000}"/>
    <cellStyle name="_ВЫРУЧКА ГФ 2007 г._Книга1_ЭБ ВСНК" xfId="264" xr:uid="{00000000-0005-0000-0000-000007010000}"/>
    <cellStyle name="_ВЫРУЧКА ГФ 2007 г._Книга1_ЭБ ВСНК ред 131108" xfId="265" xr:uid="{00000000-0005-0000-0000-000008010000}"/>
    <cellStyle name="_ВЫРУЧКА ГФ 2007 г._Разделы 14, 8(1).2, 9  БП РН-Бурение 2008-2012 (ВАНКОР)" xfId="266" xr:uid="{00000000-0005-0000-0000-000009010000}"/>
    <cellStyle name="_Выручка от реализации 2008" xfId="267" xr:uid="{00000000-0005-0000-0000-00000A010000}"/>
    <cellStyle name="_Выручка прочие" xfId="268" xr:uid="{00000000-0005-0000-0000-00000B010000}"/>
    <cellStyle name="_гидрол.  Замена участка МН НКК на выкиде ЛПДС Нурлино Ду 1200 1795-1808,5 км (геология, гидрология)" xfId="269" xr:uid="{00000000-0005-0000-0000-00000C010000}"/>
    <cellStyle name="_гидрология  Замена участков с подкладными кол. МН Салават -Орск,,, уч-к  Мраково-Зилаир, ЛПДС Салават (ТЗ 122-10)" xfId="270" xr:uid="{00000000-0005-0000-0000-00000D010000}"/>
    <cellStyle name="_Гл.юристу Приложения к договору по бурение на 2007 г (РН-Б)" xfId="271" xr:uid="{00000000-0005-0000-0000-00000E010000}"/>
    <cellStyle name="_ГРС Сибай" xfId="272" xr:uid="{00000000-0005-0000-0000-00000F010000}"/>
    <cellStyle name="_ГРС Сибай_02.02 Согласовано Смета АЗС склад  (0002-И-ЦУП ВСТО)" xfId="273" xr:uid="{00000000-0005-0000-0000-000010010000}"/>
    <cellStyle name="_ГРС Сибай_08.02. ГТП Инж. защ." xfId="274" xr:uid="{00000000-0005-0000-0000-000011010000}"/>
    <cellStyle name="_ГРС Сибай_11004 ОПС Кимельтей 14.08.09г." xfId="275" xr:uid="{00000000-0005-0000-0000-000012010000}"/>
    <cellStyle name="_ГРС Сибай_11004 ОПС Кимельтей 14.08.09г. 2" xfId="276" xr:uid="{00000000-0005-0000-0000-000013010000}"/>
    <cellStyle name="_ГРС Сибай_24 02  УЦК Смета АЗС склад  (0002-И-ЦУП ВСТО)" xfId="277" xr:uid="{00000000-0005-0000-0000-000014010000}"/>
    <cellStyle name="_ГРС Сибай_28 01  ГТП Смета АЗС склад  (0002-И-ЦУП ВСТО)" xfId="278" xr:uid="{00000000-0005-0000-0000-000015010000}"/>
    <cellStyle name="_ГРС Сибай_Копия замечания Я-М 283-314 " xfId="279" xr:uid="{00000000-0005-0000-0000-000016010000}"/>
    <cellStyle name="_ГРС Сибай_ПИР АСТУЭ АИИСКУЭ 02_03_10" xfId="280" xr:uid="{00000000-0005-0000-0000-000017010000}"/>
    <cellStyle name="_ГРС Сибай_ПИР АСТУЭ АИИСКУЭ 02_03_10 2" xfId="281" xr:uid="{00000000-0005-0000-0000-000018010000}"/>
    <cellStyle name="_ГРС Сибай_ПИР ДОП работы -АИИСКУЭ НПС12_13" xfId="282" xr:uid="{00000000-0005-0000-0000-000019010000}"/>
    <cellStyle name="_ГРС Сибай_ПИР ДОП работы -АИИСКУЭ НПС12_13 2" xfId="283" xr:uid="{00000000-0005-0000-0000-00001A010000}"/>
    <cellStyle name="_ГРС Сибай_форма 2 - изм4+" xfId="284" xr:uid="{00000000-0005-0000-0000-00001B010000}"/>
    <cellStyle name="_ГТП проектные Замена трубы_1917-1923 от экспер" xfId="285" xr:uid="{00000000-0005-0000-0000-00001C010000}"/>
    <cellStyle name="_ГТП проектные Замена трубы_1917-1923 от экспер_РБС ф-1" xfId="286" xr:uid="{00000000-0005-0000-0000-00001D010000}"/>
    <cellStyle name="_ГТП проектные Замена трубы_1917-1923 от экспер_форма 2 - АЗС и склады" xfId="287" xr:uid="{00000000-0005-0000-0000-00001E010000}"/>
    <cellStyle name="_ГТП проектные Замена трубы_1917-1923 от экспер_форма 2 - изм4+" xfId="288" xr:uid="{00000000-0005-0000-0000-00001F010000}"/>
    <cellStyle name="_ГТП Смета ПИР замена двигателей Ярославль_корр1_БНП_ок" xfId="289" xr:uid="{00000000-0005-0000-0000-000020010000}"/>
    <cellStyle name="_ГТП_ испр2-0002.1-Сметы-Артскв. ЛЭС Лугинецкое" xfId="290" xr:uid="{00000000-0005-0000-0000-000021010000}"/>
    <cellStyle name="_ГТП_ ПИР БИК СМН-Приводино_12.05.09" xfId="291" xr:uid="{00000000-0005-0000-0000-000022010000}"/>
    <cellStyle name="_ГТП_ ПИР БИК СМН-Приводино_12.05.09_РБС ф-1" xfId="292" xr:uid="{00000000-0005-0000-0000-000023010000}"/>
    <cellStyle name="_ГТП_ ПИР БИК СМН-Приводино_12.05.09_форма 2 - АЗС и склады" xfId="293" xr:uid="{00000000-0005-0000-0000-000024010000}"/>
    <cellStyle name="_ГТП_ ПИР БИК СМН-Приводино_12.05.09_форма 2 - изм4+" xfId="294" xr:uid="{00000000-0005-0000-0000-000025010000}"/>
    <cellStyle name="_ГТП_ р.Сызранка 1444 (ИИ+ПР)" xfId="295" xr:uid="{00000000-0005-0000-0000-000026010000}"/>
    <cellStyle name="_ГТП_Замена подв.переход р. Панинский Еган" xfId="296" xr:uid="{00000000-0005-0000-0000-000027010000}"/>
    <cellStyle name="_ГТП_Коррек2_0063-Сметы_РВС 20000м3 №3 Конда_Кон3." xfId="297" xr:uid="{00000000-0005-0000-0000-000028010000}"/>
    <cellStyle name="_ГТП_Коррек2_Сметы_ РВС 20000м3 №3 З-Сургут ЗС3" xfId="298" xr:uid="{00000000-0005-0000-0000-000029010000}"/>
    <cellStyle name="_ГТП_Коррект-0068-Сметы_ РВС-20000м3 №2 Урьевская-4" xfId="299" xr:uid="{00000000-0005-0000-0000-00002A010000}"/>
    <cellStyle name="_ГТП_НПС Синдор Газ" xfId="300" xr:uid="{00000000-0005-0000-0000-00002B010000}"/>
    <cellStyle name="_ГТП_НПС Синдор Газ_РБС ф-1" xfId="301" xr:uid="{00000000-0005-0000-0000-00002C010000}"/>
    <cellStyle name="_ГТП_НПС Синдор Газ_форма 2 - АЗС и склады" xfId="302" xr:uid="{00000000-0005-0000-0000-00002D010000}"/>
    <cellStyle name="_ГТП_НПС Синдор Газ_форма 2 - изм4+" xfId="303" xr:uid="{00000000-0005-0000-0000-00002E010000}"/>
    <cellStyle name="_ГТП_Нюксеница Сметы СМН-11" xfId="304" xr:uid="{00000000-0005-0000-0000-00002F010000}"/>
    <cellStyle name="_ГТП_Нюксеница Сметы СМН-11_РБС ф-1" xfId="305" xr:uid="{00000000-0005-0000-0000-000030010000}"/>
    <cellStyle name="_ГТП_Нюксеница Сметы СМН-11_форма 2 - АЗС и склады" xfId="306" xr:uid="{00000000-0005-0000-0000-000031010000}"/>
    <cellStyle name="_ГТП_Нюксеница Сметы СМН-11_форма 2 - изм4+" xfId="307" xr:uid="{00000000-0005-0000-0000-000032010000}"/>
    <cellStyle name="_ГТП_Образец сводной сметы" xfId="308" xr:uid="{00000000-0005-0000-0000-000033010000}"/>
    <cellStyle name="_ГТП_ПИР БИК СМН-Чикшино_11.05.09" xfId="309" xr:uid="{00000000-0005-0000-0000-000034010000}"/>
    <cellStyle name="_ГТП_ПИР БИК СМН-Чикшино_11.05.09_РБС ф-1" xfId="310" xr:uid="{00000000-0005-0000-0000-000035010000}"/>
    <cellStyle name="_ГТП_ПИР БИК СМН-Чикшино_11.05.09_форма 2 - АЗС и склады" xfId="311" xr:uid="{00000000-0005-0000-0000-000036010000}"/>
    <cellStyle name="_ГТП_ПИР БИК СМН-Чикшино_11.05.09_форма 2 - изм4+" xfId="312" xr:uid="{00000000-0005-0000-0000-000037010000}"/>
    <cellStyle name="_ГТП_р Сыня Сметы СМН-11" xfId="313" xr:uid="{00000000-0005-0000-0000-000038010000}"/>
    <cellStyle name="_ГТП_р Сыня Сметы СМН-11_РБС ф-1" xfId="314" xr:uid="{00000000-0005-0000-0000-000039010000}"/>
    <cellStyle name="_ГТП_р Сыня Сметы СМН-11_форма 2 - АЗС и склады" xfId="315" xr:uid="{00000000-0005-0000-0000-00003A010000}"/>
    <cellStyle name="_ГТП_р Сыня Сметы СМН-11_форма 2 - изм4+" xfId="316" xr:uid="{00000000-0005-0000-0000-00003B010000}"/>
    <cellStyle name="_ГТП_р Холуйница Сметы СМН-11" xfId="317" xr:uid="{00000000-0005-0000-0000-00003C010000}"/>
    <cellStyle name="_ГТП_р Холуйница Сметы СМН-11_РБС ф-1" xfId="318" xr:uid="{00000000-0005-0000-0000-00003D010000}"/>
    <cellStyle name="_ГТП_р Холуйница Сметы СМН-11_форма 2 - АЗС и склады" xfId="319" xr:uid="{00000000-0005-0000-0000-00003E010000}"/>
    <cellStyle name="_ГТП_р Холуйница Сметы СМН-11_форма 2 - изм4+" xfId="320" xr:uid="{00000000-0005-0000-0000-00003F010000}"/>
    <cellStyle name="_ГТП_р Шаболга Сметы СМН-11" xfId="321" xr:uid="{00000000-0005-0000-0000-000040010000}"/>
    <cellStyle name="_ГТП_р Шаболга Сметы СМН-11_РБС ф-1" xfId="322" xr:uid="{00000000-0005-0000-0000-000041010000}"/>
    <cellStyle name="_ГТП_р Шаболга Сметы СМН-11_форма 2 - АЗС и склады" xfId="323" xr:uid="{00000000-0005-0000-0000-000042010000}"/>
    <cellStyle name="_ГТП_р Шаболга Сметы СМН-11_форма 2 - изм4+" xfId="324" xr:uid="{00000000-0005-0000-0000-000043010000}"/>
    <cellStyle name="_ГТП_САП НПС Дебесы" xfId="325" xr:uid="{00000000-0005-0000-0000-000044010000}"/>
    <cellStyle name="_ГТП_САП НПС Дебесы_РБС ф-1" xfId="326" xr:uid="{00000000-0005-0000-0000-000045010000}"/>
    <cellStyle name="_ГТП_САП НПС Дебесы_форма 2 - АЗС и склады" xfId="327" xr:uid="{00000000-0005-0000-0000-000046010000}"/>
    <cellStyle name="_ГТП_САП НПС Дебесы_форма 2 - изм4+" xfId="328" xr:uid="{00000000-0005-0000-0000-000047010000}"/>
    <cellStyle name="_ГТП_Смета на ПИР СТО на ЛПДС Сокур" xfId="329" xr:uid="{00000000-0005-0000-0000-000048010000}"/>
    <cellStyle name="_ГТП_Смета на ПИР СТО на ЛПДС Сокур_РБС ф-1" xfId="330" xr:uid="{00000000-0005-0000-0000-000049010000}"/>
    <cellStyle name="_ГТП_Смета на ПИР СТО на ЛПДС Сокур_форма 2 - АЗС и склады" xfId="331" xr:uid="{00000000-0005-0000-0000-00004A010000}"/>
    <cellStyle name="_ГТП_Смета на ПИР СТО на ЛПДС Сокур_форма 2 - изм4+" xfId="332" xr:uid="{00000000-0005-0000-0000-00004B010000}"/>
    <cellStyle name="_ГТП_Смета ПиР Субханкулово8 к ДС" xfId="333" xr:uid="{00000000-0005-0000-0000-00004C010000}"/>
    <cellStyle name="_ГТП_Смета ПиР Субханкулово8 к ДС_РБС ф-1" xfId="334" xr:uid="{00000000-0005-0000-0000-00004D010000}"/>
    <cellStyle name="_ГТП_Смета ПиР Субханкулово8 к ДС_форма 2 - АЗС и склады" xfId="335" xr:uid="{00000000-0005-0000-0000-00004E010000}"/>
    <cellStyle name="_ГТП_Смета ПиР Субханкулово8 к ДС_форма 2 - изм4+" xfId="336" xr:uid="{00000000-0005-0000-0000-00004F010000}"/>
    <cellStyle name="_ГТП_СТО Сокур 200 маш" xfId="337" xr:uid="{00000000-0005-0000-0000-000050010000}"/>
    <cellStyle name="_ГТП-11017_ Киенгоп.АЗС" xfId="338" xr:uid="{00000000-0005-0000-0000-000051010000}"/>
    <cellStyle name="_ГТП-11019_ ЛТМ РРНУ -3039 ПД+РД+СВОД" xfId="339" xr:uid="{00000000-0005-0000-0000-000052010000}"/>
    <cellStyle name="_ГТП-11102_ Рек подъездных путей Муслюмово АРНУ откор" xfId="340" xr:uid="{00000000-0005-0000-0000-000053010000}"/>
    <cellStyle name="_ГТП-11102_ Рек подъездных путей Муслюмово АРНУ откор_РБС ф-1" xfId="341" xr:uid="{00000000-0005-0000-0000-000054010000}"/>
    <cellStyle name="_ГТП-11102_ Рек подъездных путей Муслюмово АРНУ откор_форма 2 - АЗС и склады" xfId="342" xr:uid="{00000000-0005-0000-0000-000055010000}"/>
    <cellStyle name="_ГТП-11102_ Рек подъездных путей Муслюмово АРНУ откор_форма 2 - изм4+" xfId="343" xr:uid="{00000000-0005-0000-0000-000056010000}"/>
    <cellStyle name="_ДДС 2008" xfId="344" xr:uid="{00000000-0005-0000-0000-000057010000}"/>
    <cellStyle name="_Дебиторская и Кредиторская задолженность ВСНК на 01 05 07 (график погашения)" xfId="345" xr:uid="{00000000-0005-0000-0000-000058010000}"/>
    <cellStyle name="_Для Ноговицина И. Приложение 1 1 квартал 2005г. по КВ для УДНГ" xfId="346" xr:uid="{00000000-0005-0000-0000-000059010000}"/>
    <cellStyle name="_ДО_CAPEX_2007-2011_план" xfId="347" xr:uid="{00000000-0005-0000-0000-00005A010000}"/>
    <cellStyle name="_договор 115п(Реконструкц.УУН ЦТП без связи с нал электр)" xfId="348" xr:uid="{00000000-0005-0000-0000-00005B010000}"/>
    <cellStyle name="_Домодедово " xfId="349" xr:uid="{00000000-0005-0000-0000-00005C010000}"/>
    <cellStyle name="_доп.затраты на мобилизацию бурения" xfId="350" xr:uid="{00000000-0005-0000-0000-00005D010000}"/>
    <cellStyle name="_Др стр-ва Приложение 2.1" xfId="351" xr:uid="{00000000-0005-0000-0000-00005E010000}"/>
    <cellStyle name="_Замена участка МН ТУ-3 на 135 км а,д М7" xfId="352" xr:uid="{00000000-0005-0000-0000-00005F010000}"/>
    <cellStyle name="_Затраты" xfId="353" xr:uid="{00000000-0005-0000-0000-000060010000}"/>
    <cellStyle name="_Затраты 2" xfId="354" xr:uid="{00000000-0005-0000-0000-000061010000}"/>
    <cellStyle name="_Затраты 3" xfId="355" xr:uid="{00000000-0005-0000-0000-000062010000}"/>
    <cellStyle name="_Затраты БП 2008 баз. вар." xfId="356" xr:uid="{00000000-0005-0000-0000-000063010000}"/>
    <cellStyle name="_Заявка МТР на 2 квартал для УДНГ1" xfId="357" xr:uid="{00000000-0005-0000-0000-000064010000}"/>
    <cellStyle name="_заявка на закупку материалов 1 кв 2005  " xfId="358" xr:uid="{00000000-0005-0000-0000-000065010000}"/>
    <cellStyle name="_Заявки на 1 кв. 2005 г.СПБ и ОТ" xfId="359" xr:uid="{00000000-0005-0000-0000-000066010000}"/>
    <cellStyle name="_ЗИП" xfId="360" xr:uid="{00000000-0005-0000-0000-000067010000}"/>
    <cellStyle name="_ЗИП_РБС ф-1" xfId="361" xr:uid="{00000000-0005-0000-0000-000068010000}"/>
    <cellStyle name="_ЗИП_форма 2 - АЗС и склады" xfId="362" xr:uid="{00000000-0005-0000-0000-000069010000}"/>
    <cellStyle name="_ЗИП_форма 2 - изм4+" xfId="363" xr:uid="{00000000-0005-0000-0000-00006A010000}"/>
    <cellStyle name="_ЗРУ Микунь Д изм 1" xfId="364" xr:uid="{00000000-0005-0000-0000-00006B010000}"/>
    <cellStyle name="_ЗРУ таёжная" xfId="365" xr:uid="{00000000-0005-0000-0000-00006C010000}"/>
    <cellStyle name="_изм10 Линейная часть.НПС 8" xfId="366" xr:uid="{00000000-0005-0000-0000-00006D010000}"/>
    <cellStyle name="_Изменение макета БП_050706" xfId="367" xr:uid="{00000000-0005-0000-0000-00006E010000}"/>
    <cellStyle name="_изыскания 16кв.дом  Алдан" xfId="368" xr:uid="{00000000-0005-0000-0000-00006F010000}"/>
    <cellStyle name="_Инвест 2007гХайбуллина." xfId="369" xr:uid="{00000000-0005-0000-0000-000070010000}"/>
    <cellStyle name="_Инвестиционная программа 2005 год 2 вариант" xfId="370" xr:uid="{00000000-0005-0000-0000-000071010000}"/>
    <cellStyle name="_Исправленый 28.07.05 Уяр" xfId="371" xr:uid="{00000000-0005-0000-0000-000072010000}"/>
    <cellStyle name="_ИТОГ" xfId="372" xr:uid="{00000000-0005-0000-0000-000073010000}"/>
    <cellStyle name="_Итог ВМП Трансп" xfId="373" xr:uid="{00000000-0005-0000-0000-000074010000}"/>
    <cellStyle name="_к 216(перех)с освоением вод" xfId="374" xr:uid="{00000000-0005-0000-0000-000075010000}"/>
    <cellStyle name="_к 216(перех)с освоением вод_Книга1" xfId="375" xr:uid="{00000000-0005-0000-0000-000076010000}"/>
    <cellStyle name="_к 216(перех)с освоением вод_Книга1_Анализ_СС тендер 09 свод" xfId="376" xr:uid="{00000000-0005-0000-0000-000077010000}"/>
    <cellStyle name="_к 216(перех)с освоением вод_Книга1_Анализ_СС тендер 09 свод_копия для доработки_090908" xfId="377" xr:uid="{00000000-0005-0000-0000-000078010000}"/>
    <cellStyle name="_к 216(перех)с освоением вод_Книга1_Копия выручки 2_161008" xfId="378" xr:uid="{00000000-0005-0000-0000-000079010000}"/>
    <cellStyle name="_к 216(перех)с освоением вод_Книга1_Копия выручки 211" xfId="379" xr:uid="{00000000-0005-0000-0000-00007A010000}"/>
    <cellStyle name="_к 216(перех)с освоением вод_Книга1_РБ Ванкор 17" xfId="380" xr:uid="{00000000-0005-0000-0000-00007B010000}"/>
    <cellStyle name="_к 216(перех)с освоением вод_Книга1_РБ ВСНК 141108" xfId="381" xr:uid="{00000000-0005-0000-0000-00007C010000}"/>
    <cellStyle name="_к 216(перех)с освоением вод_Книга1_Стоимость Юр_81  РБ ЮТМ_в ЦАУ_221008" xfId="382" xr:uid="{00000000-0005-0000-0000-00007D010000}"/>
    <cellStyle name="_к 216(перех)с освоением вод_Книга1_ЭБ ВСНК" xfId="383" xr:uid="{00000000-0005-0000-0000-00007E010000}"/>
    <cellStyle name="_к 216(перех)с освоением вод_Книга1_ЭБ ВСНК ред 131108" xfId="384" xr:uid="{00000000-0005-0000-0000-00007F010000}"/>
    <cellStyle name="_к 216(перех)с освоением вод_Разделы 14, 8(1).2, 9  БП РН-Бурение 2008-2012 (ВАНКОР)" xfId="385" xr:uid="{00000000-0005-0000-0000-000080010000}"/>
    <cellStyle name="_к ДС СОД Уса (2)" xfId="386" xr:uid="{00000000-0005-0000-0000-000081010000}"/>
    <cellStyle name="_к ДС СОД Уса (2)_РБС ф-1" xfId="387" xr:uid="{00000000-0005-0000-0000-000082010000}"/>
    <cellStyle name="_к ДС СОД Уса (2)_форма 2 - АЗС и склады" xfId="388" xr:uid="{00000000-0005-0000-0000-000083010000}"/>
    <cellStyle name="_к ДС СОД Уса (2)_форма 2 - изм4+" xfId="389" xr:uid="{00000000-0005-0000-0000-000084010000}"/>
    <cellStyle name="_К.20 И.Талового (СГК)" xfId="390" xr:uid="{00000000-0005-0000-0000-000085010000}"/>
    <cellStyle name="_К.Пл.РВС5000 №4 Салават" xfId="391" xr:uid="{00000000-0005-0000-0000-000086010000}"/>
    <cellStyle name="_Кал.план ВЛ-35кв Угутская" xfId="392" xr:uid="{00000000-0005-0000-0000-000087010000}"/>
    <cellStyle name="_Кал.план ВЛ-35кв Угутская_РБС ф-1" xfId="393" xr:uid="{00000000-0005-0000-0000-000088010000}"/>
    <cellStyle name="_Кал.план ВЛ-35кв Угутская_форма 2 - АЗС и склады" xfId="394" xr:uid="{00000000-0005-0000-0000-000089010000}"/>
    <cellStyle name="_Кал.план ВЛ-35кв Угутская_форма 2 - изм4+" xfId="395" xr:uid="{00000000-0005-0000-0000-00008A010000}"/>
    <cellStyle name="_Кап.влож. на допдобычу 2500 от 9.03.04." xfId="396" xr:uid="{00000000-0005-0000-0000-00008B010000}"/>
    <cellStyle name="_Кв ПНГ -2007 ТАНЯ" xfId="397" xr:uid="{00000000-0005-0000-0000-00008C010000}"/>
    <cellStyle name="_Книга1" xfId="398" xr:uid="{00000000-0005-0000-0000-00008D010000}"/>
    <cellStyle name="_Книга1 (2)" xfId="399" xr:uid="{00000000-0005-0000-0000-00008E010000}"/>
    <cellStyle name="_Книга1 (2)_Р.12 Труд" xfId="400" xr:uid="{00000000-0005-0000-0000-00008F010000}"/>
    <cellStyle name="_Книга1 (4)" xfId="401" xr:uid="{00000000-0005-0000-0000-000090010000}"/>
    <cellStyle name="_Книга1_1-корр. 2010 ВСНК объекты" xfId="402" xr:uid="{00000000-0005-0000-0000-000091010000}"/>
    <cellStyle name="_Книга1_ИТОГ" xfId="403" xr:uid="{00000000-0005-0000-0000-000092010000}"/>
    <cellStyle name="_Книга1_ИТОГ 2" xfId="404" xr:uid="{00000000-0005-0000-0000-000093010000}"/>
    <cellStyle name="_Книга1_ИТОГ_инф. КВ по утв ПКВ" xfId="405" xr:uid="{00000000-0005-0000-0000-000094010000}"/>
    <cellStyle name="_Книга1_ИТОГ_инф. КВ по утв ПКВ 2" xfId="406" xr:uid="{00000000-0005-0000-0000-000095010000}"/>
    <cellStyle name="_Книга1_Лист3" xfId="407" xr:uid="{00000000-0005-0000-0000-000096010000}"/>
    <cellStyle name="_Книга1_Приложение 15" xfId="408" xr:uid="{00000000-0005-0000-0000-000097010000}"/>
    <cellStyle name="_Книга1_Приложение 15 2" xfId="409" xr:uid="{00000000-0005-0000-0000-000098010000}"/>
    <cellStyle name="_Книга1_Приложение №1" xfId="410" xr:uid="{00000000-0005-0000-0000-000099010000}"/>
    <cellStyle name="_Книга1_Приложение №1 2" xfId="411" xr:uid="{00000000-0005-0000-0000-00009A010000}"/>
    <cellStyle name="_Книга1_Р.12 Труд" xfId="412" xr:uid="{00000000-0005-0000-0000-00009B010000}"/>
    <cellStyle name="_Книга31" xfId="413" xr:uid="{00000000-0005-0000-0000-00009C010000}"/>
    <cellStyle name="_Книга4" xfId="414" xr:uid="{00000000-0005-0000-0000-00009D010000}"/>
    <cellStyle name="_Книга45" xfId="415" xr:uid="{00000000-0005-0000-0000-00009E010000}"/>
    <cellStyle name="_Командировочные" xfId="416" xr:uid="{00000000-0005-0000-0000-00009F010000}"/>
    <cellStyle name="_Командировочные_РБС ф-1" xfId="417" xr:uid="{00000000-0005-0000-0000-0000A0010000}"/>
    <cellStyle name="_Командировочные_форма 2 - АЗС и склады" xfId="418" xr:uid="{00000000-0005-0000-0000-0000A1010000}"/>
    <cellStyle name="_Командировочные_форма 2 - изм4+" xfId="419" xr:uid="{00000000-0005-0000-0000-0000A2010000}"/>
    <cellStyle name="_Копия 11120 смета РВСП-10000 №9 НПС-3 АРНУ ТЗ-237(16 03 2010)" xfId="420" xr:uid="{00000000-0005-0000-0000-0000A3010000}"/>
    <cellStyle name="_Копия 12082 смета ПТС КЯС ТЗ-018-09 (20 03 2010) (3)" xfId="421" xr:uid="{00000000-0005-0000-0000-0000A4010000}"/>
    <cellStyle name="_Копия АВИАПЕРЕВОЗКИ НА ВАНКОР" xfId="422" xr:uid="{00000000-0005-0000-0000-0000A5010000}"/>
    <cellStyle name="_Копия БП_доп макет" xfId="423" xr:uid="{00000000-0005-0000-0000-0000A6010000}"/>
    <cellStyle name="_Копия БП_доп макет_РБС ф-1" xfId="424" xr:uid="{00000000-0005-0000-0000-0000A7010000}"/>
    <cellStyle name="_Копия БП_доп макет_форма 2 - АЗС и склады" xfId="425" xr:uid="{00000000-0005-0000-0000-0000A8010000}"/>
    <cellStyle name="_Копия БП_доп макет_форма 2 - изм4+" xfId="426" xr:uid="{00000000-0005-0000-0000-0000A9010000}"/>
    <cellStyle name="_Копия Копия Форма 3П новая " xfId="427" xr:uid="{00000000-0005-0000-0000-0000AA010000}"/>
    <cellStyle name="_Копия КП СОД 85 км МН А-Г_ТЗ-222 с ЭПБ 18 05(откорр суб)" xfId="428" xr:uid="{00000000-0005-0000-0000-0000AB010000}"/>
    <cellStyle name="_Копия ОНСС 2005 вариант N" xfId="429" xr:uid="{00000000-0005-0000-0000-0000AC010000}"/>
    <cellStyle name="_Копия Программа перевооружения 2007-2011 гг  СВОД (2)" xfId="430" xr:uid="{00000000-0005-0000-0000-0000AD010000}"/>
    <cellStyle name="_Копия Программа перевооружения 2007-2011 гг  СВОД (2)_Р.12 Труд" xfId="431" xr:uid="{00000000-0005-0000-0000-0000AE010000}"/>
    <cellStyle name="_Копия Разделы 15,16 2008-2012 " xfId="432" xr:uid="{00000000-0005-0000-0000-0000AF010000}"/>
    <cellStyle name="_Копия Разделы 15,16 2008-2012 _Maket БП" xfId="433" xr:uid="{00000000-0005-0000-0000-0000B0010000}"/>
    <cellStyle name="_Копия Разделы 15,16 2008-2012 _Копия выручки 2_161008" xfId="434" xr:uid="{00000000-0005-0000-0000-0000B1010000}"/>
    <cellStyle name="_Копия Разделы 15,16 2008-2012 _Копия выручки 211" xfId="435" xr:uid="{00000000-0005-0000-0000-0000B2010000}"/>
    <cellStyle name="_Копия Разделы 15,16 2008-2012 _РБ Ванкор 17" xfId="436" xr:uid="{00000000-0005-0000-0000-0000B3010000}"/>
    <cellStyle name="_Копия Разделы 15,16 2008-2012 _РБ ВСНК 141108" xfId="437" xr:uid="{00000000-0005-0000-0000-0000B4010000}"/>
    <cellStyle name="_Копия Разделы 15,16 2008-2012 _Стоимость Юр_81  РБ ЮТМ_в ЦАУ_221008" xfId="438" xr:uid="{00000000-0005-0000-0000-0000B5010000}"/>
    <cellStyle name="_Копия Разделы 15,16 2008-2012 _ЭБ ВСНК" xfId="439" xr:uid="{00000000-0005-0000-0000-0000B6010000}"/>
    <cellStyle name="_Копия Разделы 15,16 2008-2012 _ЭБ ВСНК ред 131108" xfId="440" xr:uid="{00000000-0005-0000-0000-0000B7010000}"/>
    <cellStyle name="_Копия Расч . ст-ти скв № 7087 куста № 64А" xfId="441" xr:uid="{00000000-0005-0000-0000-0000B8010000}"/>
    <cellStyle name="_Копия Смета ПИР для зак (Газ геодезия)V3" xfId="442" xr:uid="{00000000-0005-0000-0000-0000B9010000}"/>
    <cellStyle name="_Копия Смета ПИР для зак (Газ геодезия)V3_РБС ф-1" xfId="443" xr:uid="{00000000-0005-0000-0000-0000BA010000}"/>
    <cellStyle name="_Копия Смета ПИР для зак (Газ геодезия)V3_форма 2 - АЗС и склады" xfId="444" xr:uid="{00000000-0005-0000-0000-0000BB010000}"/>
    <cellStyle name="_Копия Смета ПИР для зак (Газ геодезия)V3_форма 2 - изм4+" xfId="445" xr:uid="{00000000-0005-0000-0000-0000BC010000}"/>
    <cellStyle name="_Копия ТЭП СБК 2005 (БП+) (3)" xfId="446" xr:uid="{00000000-0005-0000-0000-0000BD010000}"/>
    <cellStyle name="_Копия Форма 3П субподрядная_ГТП" xfId="447" xr:uid="{00000000-0005-0000-0000-0000BE010000}"/>
    <cellStyle name="_корректировка смет" xfId="448" xr:uid="{00000000-0005-0000-0000-0000BF010000}"/>
    <cellStyle name="_Котельная-1" xfId="449" xr:uid="{00000000-0005-0000-0000-0000C0010000}"/>
    <cellStyle name="_КП СОД 85 км МН А-Г_ТЗ-222 с ЭПБ 22 05" xfId="450" xr:uid="{00000000-0005-0000-0000-0000C1010000}"/>
    <cellStyle name="_Крепление обновл." xfId="451" xr:uid="{00000000-0005-0000-0000-0000C2010000}"/>
    <cellStyle name="_Крепление обновл._Maket БП" xfId="452" xr:uid="{00000000-0005-0000-0000-0000C3010000}"/>
    <cellStyle name="_Крепление обновл._Копия выручки 2_161008" xfId="453" xr:uid="{00000000-0005-0000-0000-0000C4010000}"/>
    <cellStyle name="_Крепление обновл._Копия выручки 211" xfId="454" xr:uid="{00000000-0005-0000-0000-0000C5010000}"/>
    <cellStyle name="_Крепление обновл._РБ Ванкор 17" xfId="455" xr:uid="{00000000-0005-0000-0000-0000C6010000}"/>
    <cellStyle name="_Крепление обновл._РБ ВСНК 141108" xfId="456" xr:uid="{00000000-0005-0000-0000-0000C7010000}"/>
    <cellStyle name="_Крепление обновл._Стоимость Юр_81  РБ ЮТМ_в ЦАУ_221008" xfId="457" xr:uid="{00000000-0005-0000-0000-0000C8010000}"/>
    <cellStyle name="_Крепление обновл._ЭБ ВСНК" xfId="458" xr:uid="{00000000-0005-0000-0000-0000C9010000}"/>
    <cellStyle name="_Крепление обновл._ЭБ ВСНК ред 131108" xfId="459" xr:uid="{00000000-0005-0000-0000-0000CA010000}"/>
    <cellStyle name="_КС-2 (альб.)" xfId="460" xr:uid="{00000000-0005-0000-0000-0000CB010000}"/>
    <cellStyle name="_КСВТ" xfId="461" xr:uid="{00000000-0005-0000-0000-0000CC010000}"/>
    <cellStyle name="_КСВТ_РБС ф-1" xfId="462" xr:uid="{00000000-0005-0000-0000-0000CD010000}"/>
    <cellStyle name="_КСВТ_форма 2 - АЗС и склады" xfId="463" xr:uid="{00000000-0005-0000-0000-0000CE010000}"/>
    <cellStyle name="_КСВТ_форма 2 - изм4+" xfId="464" xr:uid="{00000000-0005-0000-0000-0000CF010000}"/>
    <cellStyle name="_КТСО УС Черниковск" xfId="465" xr:uid="{00000000-0005-0000-0000-0000D0010000}"/>
    <cellStyle name="_Л4" xfId="466" xr:uid="{00000000-0005-0000-0000-0000D1010000}"/>
    <cellStyle name="_Л5" xfId="467" xr:uid="{00000000-0005-0000-0000-0000D2010000}"/>
    <cellStyle name="_Л6" xfId="468" xr:uid="{00000000-0005-0000-0000-0000D3010000}"/>
    <cellStyle name="_ЛВС корп А 25 06_NEW" xfId="469" xr:uid="{00000000-0005-0000-0000-0000D4010000}"/>
    <cellStyle name="_Леско1" xfId="470" xr:uid="{00000000-0005-0000-0000-0000D5010000}"/>
    <cellStyle name="_Леско1_РБС ф-1" xfId="471" xr:uid="{00000000-0005-0000-0000-0000D6010000}"/>
    <cellStyle name="_Леско1_форма 2 - АЗС и склады" xfId="472" xr:uid="{00000000-0005-0000-0000-0000D7010000}"/>
    <cellStyle name="_Леско1_форма 2 - изм4+" xfId="473" xr:uid="{00000000-0005-0000-0000-0000D8010000}"/>
    <cellStyle name="_ЛеснаяПоляна" xfId="474" xr:uid="{00000000-0005-0000-0000-0000D9010000}"/>
    <cellStyle name="_Лимиты на ОНСС 2004" xfId="475" xr:uid="{00000000-0005-0000-0000-0000DA010000}"/>
    <cellStyle name="_Лимиты на ОНСС 20041" xfId="476" xr:uid="{00000000-0005-0000-0000-0000DB010000}"/>
    <cellStyle name="_Лимиты НПО апр. 02 (ПБУ)" xfId="477" xr:uid="{00000000-0005-0000-0000-0000DC010000}"/>
    <cellStyle name="_Лист1" xfId="478" xr:uid="{00000000-0005-0000-0000-0000DD010000}"/>
    <cellStyle name="_Лист1_1" xfId="479" xr:uid="{00000000-0005-0000-0000-0000DE010000}"/>
    <cellStyle name="_Лист1_2" xfId="480" xr:uid="{00000000-0005-0000-0000-0000DF010000}"/>
    <cellStyle name="_Лист1_Лист3" xfId="481" xr:uid="{00000000-0005-0000-0000-0000E0010000}"/>
    <cellStyle name="_Лист1_Р.12 Труд" xfId="482" xr:uid="{00000000-0005-0000-0000-0000E1010000}"/>
    <cellStyle name="_Лист2" xfId="483" xr:uid="{00000000-0005-0000-0000-0000E2010000}"/>
    <cellStyle name="_Лист3" xfId="484" xr:uid="{00000000-0005-0000-0000-0000E3010000}"/>
    <cellStyle name="_Локосовское месторождения" xfId="485" xr:uid="{00000000-0005-0000-0000-0000E4010000}"/>
    <cellStyle name="_ЛОТ 2" xfId="486" xr:uid="{00000000-0005-0000-0000-0000E5010000}"/>
    <cellStyle name="_Лот №01 (ПБ Масляная площадь скв. №1)" xfId="487" xr:uid="{00000000-0005-0000-0000-0000E6010000}"/>
    <cellStyle name="_Лот №01 (РБ Масляная) от 05.12.07 г для ДБСТиС на 2008 РН-КНГ" xfId="488" xr:uid="{00000000-0005-0000-0000-0000E7010000}"/>
    <cellStyle name="_Лот №02 (РБ Грущаная площадь скв. №2)" xfId="489" xr:uid="{00000000-0005-0000-0000-0000E8010000}"/>
    <cellStyle name="_Лот №03 (ПБ Восточно-Чумаковская площадь скв. №2)" xfId="490" xr:uid="{00000000-0005-0000-0000-0000E9010000}"/>
    <cellStyle name="_ЛОТ №04-01 (ЭБ куст №1)" xfId="491" xr:uid="{00000000-0005-0000-0000-0000EA010000}"/>
    <cellStyle name="_Лот №2. Реконструкция трансформаторной подстанции" xfId="492" xr:uid="{00000000-0005-0000-0000-0000EB010000}"/>
    <cellStyle name="_ЛФО 2006" xfId="493" xr:uid="{00000000-0005-0000-0000-0000EC010000}"/>
    <cellStyle name="_МАКЕТ книги б п для добычи 2008-20012г" xfId="494" xr:uid="{00000000-0005-0000-0000-0000ED010000}"/>
    <cellStyle name="_макет ожид объемов Усинск  на 15 января" xfId="495" xr:uid="{00000000-0005-0000-0000-0000EE010000}"/>
    <cellStyle name="_Масляная площадьскв. №1 2008 г РН-КНГ для ДБСТиС от 06.11.07" xfId="496" xr:uid="{00000000-0005-0000-0000-0000EF010000}"/>
    <cellStyle name="_Межевание-1" xfId="497" xr:uid="{00000000-0005-0000-0000-0000F0010000}"/>
    <cellStyle name="_Мероп-ия по оптим-ии упр_расх-в 2008 НоФ ООО РН-Б" xfId="498" xr:uid="{00000000-0005-0000-0000-0000F1010000}"/>
    <cellStyle name="_Микроэкономика  1 Проектные работы" xfId="499" xr:uid="{00000000-0005-0000-0000-0000F2010000}"/>
    <cellStyle name="_Микроэкономика  1 Проектные работы_РБС ф-1" xfId="500" xr:uid="{00000000-0005-0000-0000-0000F3010000}"/>
    <cellStyle name="_Микроэкономика  1 Проектные работы_форма 2 - АЗС и склады" xfId="501" xr:uid="{00000000-0005-0000-0000-0000F4010000}"/>
    <cellStyle name="_Микроэкономика  1 Проектные работы_форма 2 - изм4+" xfId="502" xr:uid="{00000000-0005-0000-0000-0000F5010000}"/>
    <cellStyle name="_Микроэкономика  2 Проектные работы" xfId="503" xr:uid="{00000000-0005-0000-0000-0000F6010000}"/>
    <cellStyle name="_Микроэкономика  2 Проектные работы_РБС ф-1" xfId="504" xr:uid="{00000000-0005-0000-0000-0000F7010000}"/>
    <cellStyle name="_Микроэкономика  2 Проектные работы_форма 2 - АЗС и склады" xfId="505" xr:uid="{00000000-0005-0000-0000-0000F8010000}"/>
    <cellStyle name="_Микроэкономика  2 Проектные работы_форма 2 - изм4+" xfId="506" xr:uid="{00000000-0005-0000-0000-0000F9010000}"/>
    <cellStyle name="_МТО на 2007 по-месячно" xfId="507" xr:uid="{00000000-0005-0000-0000-0000FA010000}"/>
    <cellStyle name="_МТО на 2007 по-месячно_Разделы 14, 8(1).2, 9  БП РН-Бурение 2008-2012 (ВАНКОР)" xfId="508" xr:uid="{00000000-0005-0000-0000-0000FB010000}"/>
    <cellStyle name="_МТР  ПНГ 4 кв 2007г по мес.сд в ОМТС последний  " xfId="509" xr:uid="{00000000-0005-0000-0000-0000FC010000}"/>
    <cellStyle name="_МТР 2007 г ПНГ 2 кв 2007г по мес.сд в ОМТС назначен для отправки в Роснефть. 324 мил" xfId="510" xr:uid="{00000000-0005-0000-0000-0000FD010000}"/>
    <cellStyle name="_МТР Ванкор   4 кв 2007г по мес.сд в ОМТС от30.09.07г самый последний1" xfId="511" xr:uid="{00000000-0005-0000-0000-0000FE010000}"/>
    <cellStyle name="_Н.вариант" xfId="512" xr:uid="{00000000-0005-0000-0000-0000FF010000}"/>
    <cellStyle name="_Нефтесборные сети, высоконапорные водоводы Покачевского месторождения" xfId="513" xr:uid="{00000000-0005-0000-0000-000000020000}"/>
    <cellStyle name="_Новая кодировка" xfId="514" xr:uid="{00000000-0005-0000-0000-000001020000}"/>
    <cellStyle name="_Новая кодировка 2" xfId="515" xr:uid="{00000000-0005-0000-0000-000002020000}"/>
    <cellStyle name="_Новая кодировка_инф. КВ по утв ПКВ" xfId="516" xr:uid="{00000000-0005-0000-0000-000003020000}"/>
    <cellStyle name="_Новая кодировка_инф. КВ по утв ПКВ 2" xfId="517" xr:uid="{00000000-0005-0000-0000-000004020000}"/>
    <cellStyle name="_новое оборудование2005" xfId="518" xr:uid="{00000000-0005-0000-0000-000005020000}"/>
    <cellStyle name="_Новые формы_месяц_версия 6" xfId="519" xr:uid="{00000000-0005-0000-0000-000006020000}"/>
    <cellStyle name="_НОВЫЙ лот 4 (АСУ МАУ)" xfId="520" xr:uid="{00000000-0005-0000-0000-000007020000}"/>
    <cellStyle name="_НОВЫЙ Лот 9 Котельная-13.02.2008" xfId="521" xr:uid="{00000000-0005-0000-0000-000008020000}"/>
    <cellStyle name="_НПЗ" xfId="522" xr:uid="{00000000-0005-0000-0000-000009020000}"/>
    <cellStyle name="_НПЗ (2)" xfId="523" xr:uid="{00000000-0005-0000-0000-00000A020000}"/>
    <cellStyle name="_НФ РН-Бурение Разделы 8 1 1   8 1 2   8 1 3   к Макету Бизнес-плана" xfId="524" xr:uid="{00000000-0005-0000-0000-00000B020000}"/>
    <cellStyle name="_НФ РН-Бурение Разделы 8 1 1   8 1 2   8 1 3   к Макету Бизнес-плана_Maket БП" xfId="525" xr:uid="{00000000-0005-0000-0000-00000C020000}"/>
    <cellStyle name="_НФ РН-Бурение Разделы 8 1 1   8 1 2   8 1 3   к Макету Бизнес-плана_Копия выручки 2_161008" xfId="526" xr:uid="{00000000-0005-0000-0000-00000D020000}"/>
    <cellStyle name="_НФ РН-Бурение Разделы 8 1 1   8 1 2   8 1 3   к Макету Бизнес-плана_Копия выручки 211" xfId="527" xr:uid="{00000000-0005-0000-0000-00000E020000}"/>
    <cellStyle name="_НФ РН-Бурение Разделы 8 1 1   8 1 2   8 1 3   к Макету Бизнес-плана_РБ Ванкор 17" xfId="528" xr:uid="{00000000-0005-0000-0000-00000F020000}"/>
    <cellStyle name="_НФ РН-Бурение Разделы 8 1 1   8 1 2   8 1 3   к Макету Бизнес-плана_РБ ВСНК 141108" xfId="529" xr:uid="{00000000-0005-0000-0000-000010020000}"/>
    <cellStyle name="_НФ РН-Бурение Разделы 8 1 1   8 1 2   8 1 3   к Макету Бизнес-плана_Стоимость Юр_81  РБ ЮТМ_в ЦАУ_221008" xfId="530" xr:uid="{00000000-0005-0000-0000-000011020000}"/>
    <cellStyle name="_НФ РН-Бурение Разделы 8 1 1   8 1 2   8 1 3   к Макету Бизнес-плана_ЭБ ВСНК" xfId="531" xr:uid="{00000000-0005-0000-0000-000012020000}"/>
    <cellStyle name="_НФ РН-Бурение Разделы 8 1 1   8 1 2   8 1 3   к Макету Бизнес-плана_ЭБ ВСНК ред 131108" xfId="532" xr:uid="{00000000-0005-0000-0000-000013020000}"/>
    <cellStyle name="_НФ РН-Бурение Разделы 8.1.1.  8.1.2.  8.1.3.  к Макету Бизнес-плана" xfId="533" xr:uid="{00000000-0005-0000-0000-000014020000}"/>
    <cellStyle name="_НФ РН-Бурение Разделы 8.1.1.  8.1.2.  8.1.3.  к Макету Бизнес-плана_Maket БП" xfId="534" xr:uid="{00000000-0005-0000-0000-000015020000}"/>
    <cellStyle name="_НФ РН-Бурение Разделы 8.1.1.  8.1.2.  8.1.3.  к Макету Бизнес-плана_Копия выручки 2_161008" xfId="535" xr:uid="{00000000-0005-0000-0000-000016020000}"/>
    <cellStyle name="_НФ РН-Бурение Разделы 8.1.1.  8.1.2.  8.1.3.  к Макету Бизнес-плана_Копия выручки 211" xfId="536" xr:uid="{00000000-0005-0000-0000-000017020000}"/>
    <cellStyle name="_НФ РН-Бурение Разделы 8.1.1.  8.1.2.  8.1.3.  к Макету Бизнес-плана_РБ Ванкор 17" xfId="537" xr:uid="{00000000-0005-0000-0000-000018020000}"/>
    <cellStyle name="_НФ РН-Бурение Разделы 8.1.1.  8.1.2.  8.1.3.  к Макету Бизнес-плана_РБ ВСНК 141108" xfId="538" xr:uid="{00000000-0005-0000-0000-000019020000}"/>
    <cellStyle name="_НФ РН-Бурение Разделы 8.1.1.  8.1.2.  8.1.3.  к Макету Бизнес-плана_Стоимость Юр_81  РБ ЮТМ_в ЦАУ_221008" xfId="539" xr:uid="{00000000-0005-0000-0000-00001A020000}"/>
    <cellStyle name="_НФ РН-Бурение Разделы 8.1.1.  8.1.2.  8.1.3.  к Макету Бизнес-плана_ЭБ ВСНК" xfId="540" xr:uid="{00000000-0005-0000-0000-00001B020000}"/>
    <cellStyle name="_НФ РН-Бурение Разделы 8.1.1.  8.1.2.  8.1.3.  к Макету Бизнес-плана_ЭБ ВСНК ред 131108" xfId="541" xr:uid="{00000000-0005-0000-0000-00001C020000}"/>
    <cellStyle name="_Оборудование (2)" xfId="542" xr:uid="{00000000-0005-0000-0000-00001D020000}"/>
    <cellStyle name="_Обустройство Южно-Черемшанского к.2(УКС)" xfId="543" xr:uid="{00000000-0005-0000-0000-00001E020000}"/>
    <cellStyle name="_Общий шаблон" xfId="544" xr:uid="{00000000-0005-0000-0000-00001F020000}"/>
    <cellStyle name="_объемы  бурения 2004г " xfId="545" xr:uid="{00000000-0005-0000-0000-000020020000}"/>
    <cellStyle name="_объемы  бурения 2004г  2" xfId="546" xr:uid="{00000000-0005-0000-0000-000021020000}"/>
    <cellStyle name="_объемы  бурения 2004г _инф. КВ по утв ПКВ" xfId="547" xr:uid="{00000000-0005-0000-0000-000022020000}"/>
    <cellStyle name="_объемы  бурения 2004г _инф. КВ по утв ПКВ 2" xfId="548" xr:uid="{00000000-0005-0000-0000-000023020000}"/>
    <cellStyle name="_объемы  бурения 2004г _Копия выручки 2" xfId="549" xr:uid="{00000000-0005-0000-0000-000024020000}"/>
    <cellStyle name="_объемы  бурения 2004г _Лист3" xfId="550" xr:uid="{00000000-0005-0000-0000-000025020000}"/>
    <cellStyle name="_объемы  бурения 2004г _ЛОТ № 01 (ЭБ куст №1) ред" xfId="551" xr:uid="{00000000-0005-0000-0000-000026020000}"/>
    <cellStyle name="_объемы  бурения 2004г _ЛОТ № 01 (ЭБ куст №1) ред_Анализ_СС тендер 09 свод" xfId="552" xr:uid="{00000000-0005-0000-0000-000027020000}"/>
    <cellStyle name="_объемы  бурения 2004г _ЛОТ № 01 (ЭБ куст №1) ред_Анализ_СС тендер 09 свод_копия для доработки_090908" xfId="553" xr:uid="{00000000-0005-0000-0000-000028020000}"/>
    <cellStyle name="_объемы  бурения 2004г _Разделы 14, 8(1).2, 9  БП РН-Бурение 2008-2012 (ВАНКОР)" xfId="554" xr:uid="{00000000-0005-0000-0000-000029020000}"/>
    <cellStyle name="_объемы  бурения 2004г _расчет СС_ВСНК_с БКФ" xfId="555" xr:uid="{00000000-0005-0000-0000-00002A020000}"/>
    <cellStyle name="_объемы  бурения 2004г _Расчет стоимости скв" xfId="556" xr:uid="{00000000-0005-0000-0000-00002B020000}"/>
    <cellStyle name="_объемы  бурения 2004г _Расчет стоимости скв 17 Ванкор" xfId="557" xr:uid="{00000000-0005-0000-0000-00002C020000}"/>
    <cellStyle name="_объемы  бурения 2004г _Расчет стоимости скв 17 Ванкор_Анализ_СС тендер 09 свод" xfId="558" xr:uid="{00000000-0005-0000-0000-00002D020000}"/>
    <cellStyle name="_объемы  бурения 2004г _Расчет стоимости скв 17 Ванкор_Анализ_СС тендер 09 свод_копия для доработки_090908" xfId="559" xr:uid="{00000000-0005-0000-0000-00002E020000}"/>
    <cellStyle name="_объемы  бурения 2004г _Расчет стоимости скв_авиация" xfId="560" xr:uid="{00000000-0005-0000-0000-00002F020000}"/>
    <cellStyle name="_объемы  бурения 2004г _Расчет стоимости скв_Выручка ЭБ ВСНК 09 ред.241108" xfId="561" xr:uid="{00000000-0005-0000-0000-000030020000}"/>
    <cellStyle name="_объемы  бурения 2004г _Расчет стоимости скв_Выручка ЭБ ВСНК 09 ред.241108_для ВСНК" xfId="562" xr:uid="{00000000-0005-0000-0000-000031020000}"/>
    <cellStyle name="_объемы  бурения 2004г _Расчет стоимости скв_Копия стоимость Юр-81 ред 160309 печать" xfId="563" xr:uid="{00000000-0005-0000-0000-000032020000}"/>
    <cellStyle name="_объемы  бурения 2004г _Расчет стоимости скв_расчет БПО 141008" xfId="564" xr:uid="{00000000-0005-0000-0000-000033020000}"/>
    <cellStyle name="_объемы  бурения 2004г _Расчет стоимости скв_расчет СС_ВСНК_ЭБ_09 ред 111108" xfId="565" xr:uid="{00000000-0005-0000-0000-000034020000}"/>
    <cellStyle name="_объемы  бурения 2004г _Расчет стоимости скв_расчет СС_ВСНК_ЭБ_09 ред 161008" xfId="566" xr:uid="{00000000-0005-0000-0000-000035020000}"/>
    <cellStyle name="_объемы  бурения 2004г _Расчет стоимости скв_расчет СС_ВСНК_ЭБ_09 ред 201008" xfId="567" xr:uid="{00000000-0005-0000-0000-000036020000}"/>
    <cellStyle name="_объемы  бурения 2004г _Расчет стоимости скв_Расчет стоимости Петим-3 ред 250309" xfId="568" xr:uid="{00000000-0005-0000-0000-000037020000}"/>
    <cellStyle name="_объемы  бурения 2004г _Расчет стоимости скв_стоимость Юр-81 ред 130309 от Дьяченко" xfId="569" xr:uid="{00000000-0005-0000-0000-000038020000}"/>
    <cellStyle name="_объемы  бурения 2004г _Расчет стоимости скв_стоимость Юр-81 ред 131208 для ВСНК нов сервис" xfId="570" xr:uid="{00000000-0005-0000-0000-000039020000}"/>
    <cellStyle name="_объемы  бурения 2004г _Расчет стоимости скв_стоимость Юр-81 ред 140209 в договор" xfId="571" xr:uid="{00000000-0005-0000-0000-00003A020000}"/>
    <cellStyle name="_объемы  бурения 2004г _Расчет стоимости скв_стоимость Юр-81 ред 160309" xfId="572" xr:uid="{00000000-0005-0000-0000-00003B020000}"/>
    <cellStyle name="_объемы  бурения 2004г _Расчет стоимости скв_стоимость Юр-81 ред 180209" xfId="573" xr:uid="{00000000-0005-0000-0000-00003C020000}"/>
    <cellStyle name="_объемы  бурения 2004г _Расчет стоимости скв_стоимость Юр-81 ред 190109" xfId="574" xr:uid="{00000000-0005-0000-0000-00003D020000}"/>
    <cellStyle name="_объемы  бурения 2004г _Расчет стоимости скв_стоимость Юр-81 ред 200309 на 100 сут.уточн_1" xfId="575" xr:uid="{00000000-0005-0000-0000-00003E020000}"/>
    <cellStyle name="_объемы  бурения 2004г _Расчет стоимости скв_стоимость Юр-81 ред 210109 в договор" xfId="576" xr:uid="{00000000-0005-0000-0000-00003F020000}"/>
    <cellStyle name="_объемы  бурения 2004г _Расчет стоимости скв_стоимость Юр-81 ред 241108" xfId="577" xr:uid="{00000000-0005-0000-0000-000040020000}"/>
    <cellStyle name="_объемы  бурения 2004г _Расчет стоимости скв_стоимость Юр-81 ред 241108 без БПО" xfId="578" xr:uid="{00000000-0005-0000-0000-000041020000}"/>
    <cellStyle name="_объемы  бурения 2004г _Расчет стоимости скв_стоимость Юр-81 ред 241108_в ВСНК" xfId="579" xr:uid="{00000000-0005-0000-0000-000042020000}"/>
    <cellStyle name="_объемы  бурения 2004г _Расчет стоимости скв_Юр-81 исп со станка" xfId="580" xr:uid="{00000000-0005-0000-0000-000043020000}"/>
    <cellStyle name="_Ожид.GUB smeta" xfId="581" xr:uid="{00000000-0005-0000-0000-000044020000}"/>
    <cellStyle name="_Ожид.GUB smeta_Разделы 14, 8(1).2, 9  БП РН-Бурение 2008-2012 (ВАНКОР)" xfId="582" xr:uid="{00000000-0005-0000-0000-000045020000}"/>
    <cellStyle name="_Окончательная редакция для ПТО" xfId="583" xr:uid="{00000000-0005-0000-0000-000046020000}"/>
    <cellStyle name="_ОНСС 2005г Окончательный вар ГРП  5 01 05г" xfId="584" xr:uid="{00000000-0005-0000-0000-000047020000}"/>
    <cellStyle name="_ОНСС 2006 6.12.06" xfId="585" xr:uid="{00000000-0005-0000-0000-000048020000}"/>
    <cellStyle name="_ОНСС от 02.02.2004 по AFE" xfId="586" xr:uid="{00000000-0005-0000-0000-000049020000}"/>
    <cellStyle name="_ОНСС от 24.01.05 (Департамент)" xfId="587" xr:uid="{00000000-0005-0000-0000-00004A020000}"/>
    <cellStyle name="_ОПУ" xfId="588" xr:uid="{00000000-0005-0000-0000-00004B020000}"/>
    <cellStyle name="_ОПУ_РБС ф-1" xfId="589" xr:uid="{00000000-0005-0000-0000-00004C020000}"/>
    <cellStyle name="_ОПУ_форма 2 - АЗС и склады" xfId="590" xr:uid="{00000000-0005-0000-0000-00004D020000}"/>
    <cellStyle name="_ОПУ_форма 2 - изм4+" xfId="591" xr:uid="{00000000-0005-0000-0000-00004E020000}"/>
    <cellStyle name="_Орловка АН смета+КП" xfId="592" xr:uid="{00000000-0005-0000-0000-00004F020000}"/>
    <cellStyle name="_Орловка АН смета+КП_02.02 Согласовано Смета АЗС склад  (0002-И-ЦУП ВСТО)" xfId="593" xr:uid="{00000000-0005-0000-0000-000050020000}"/>
    <cellStyle name="_Орловка АН смета+КП_08.02. ГТП Инж. защ." xfId="594" xr:uid="{00000000-0005-0000-0000-000051020000}"/>
    <cellStyle name="_Орловка АН смета+КП_11004 ОПС Кимельтей 14.08.09г." xfId="595" xr:uid="{00000000-0005-0000-0000-000052020000}"/>
    <cellStyle name="_Орловка АН смета+КП_11004 ОПС Кимельтей 14.08.09г. 2" xfId="596" xr:uid="{00000000-0005-0000-0000-000053020000}"/>
    <cellStyle name="_Орловка АН смета+КП_24 02  УЦК Смета АЗС склад  (0002-И-ЦУП ВСТО)" xfId="597" xr:uid="{00000000-0005-0000-0000-000054020000}"/>
    <cellStyle name="_Орловка АН смета+КП_28 01  ГТП Смета АЗС склад  (0002-И-ЦУП ВСТО)" xfId="598" xr:uid="{00000000-0005-0000-0000-000055020000}"/>
    <cellStyle name="_Орловка АН смета+КП_Копия замечания Я-М 283-314 " xfId="599" xr:uid="{00000000-0005-0000-0000-000056020000}"/>
    <cellStyle name="_Орловка АН смета+КП_ПИР АСТУЭ АИИСКУЭ 02_03_10" xfId="600" xr:uid="{00000000-0005-0000-0000-000057020000}"/>
    <cellStyle name="_Орловка АН смета+КП_ПИР АСТУЭ АИИСКУЭ 02_03_10 2" xfId="601" xr:uid="{00000000-0005-0000-0000-000058020000}"/>
    <cellStyle name="_Орловка АН смета+КП_ПИР ДОП работы -АИИСКУЭ НПС12_13" xfId="602" xr:uid="{00000000-0005-0000-0000-000059020000}"/>
    <cellStyle name="_Орловка АН смета+КП_ПИР ДОП работы -АИИСКУЭ НПС12_13 2" xfId="603" xr:uid="{00000000-0005-0000-0000-00005A020000}"/>
    <cellStyle name="_Орловка АН смета+КП_форма 2 - изм4+" xfId="604" xr:uid="{00000000-0005-0000-0000-00005B020000}"/>
    <cellStyle name="_от 08.08.09г.-Здание ЦРС,столовая ПБО АРНУ - 01.07 согл." xfId="605" xr:uid="{00000000-0005-0000-0000-00005C020000}"/>
    <cellStyle name="_Отчет" xfId="606" xr:uid="{00000000-0005-0000-0000-00005D020000}"/>
    <cellStyle name="_ОТЧЁТ Закупка по собственным договорам Таблица 1" xfId="607" xr:uid="{00000000-0005-0000-0000-00005E020000}"/>
    <cellStyle name="_Отчет по разделу 8 2  с корректировкой от 5.07.07г." xfId="608" xr:uid="{00000000-0005-0000-0000-00005F020000}"/>
    <cellStyle name="_Отчет по разделу 8 2  с корректировкой от 5.07.07г._Maket БП" xfId="609" xr:uid="{00000000-0005-0000-0000-000060020000}"/>
    <cellStyle name="_Отчет по разделу 8 2  с корректировкой от 5.07.07г._Копия выручки 2_161008" xfId="610" xr:uid="{00000000-0005-0000-0000-000061020000}"/>
    <cellStyle name="_Отчет по разделу 8 2  с корректировкой от 5.07.07г._Копия выручки 211" xfId="611" xr:uid="{00000000-0005-0000-0000-000062020000}"/>
    <cellStyle name="_Отчет по разделу 8 2  с корректировкой от 5.07.07г._РБ Ванкор 17" xfId="612" xr:uid="{00000000-0005-0000-0000-000063020000}"/>
    <cellStyle name="_Отчет по разделу 8 2  с корректировкой от 5.07.07г._РБ ВСНК 141108" xfId="613" xr:uid="{00000000-0005-0000-0000-000064020000}"/>
    <cellStyle name="_Отчет по разделу 8 2  с корректировкой от 5.07.07г._Стоимость Юр_81  РБ ЮТМ_в ЦАУ_221008" xfId="614" xr:uid="{00000000-0005-0000-0000-000065020000}"/>
    <cellStyle name="_Отчет по разделу 8 2  с корректировкой от 5.07.07г._ЭБ ВСНК" xfId="615" xr:uid="{00000000-0005-0000-0000-000066020000}"/>
    <cellStyle name="_Отчет по разделу 8 2  с корректировкой от 5.07.07г._ЭБ ВСНК ред 131108" xfId="616" xr:uid="{00000000-0005-0000-0000-000067020000}"/>
    <cellStyle name="_Передвижка 2007 год Ванкор" xfId="617" xr:uid="{00000000-0005-0000-0000-000068020000}"/>
    <cellStyle name="_Переход траншея р. Юргамыш 15.09.08" xfId="618" xr:uid="{00000000-0005-0000-0000-000069020000}"/>
    <cellStyle name="_Периферия" xfId="619" xr:uid="{00000000-0005-0000-0000-00006A020000}"/>
    <cellStyle name="_Периферия_РБС ф-1" xfId="620" xr:uid="{00000000-0005-0000-0000-00006B020000}"/>
    <cellStyle name="_Периферия_форма 2 - АЗС и склады" xfId="621" xr:uid="{00000000-0005-0000-0000-00006C020000}"/>
    <cellStyle name="_Периферия_форма 2 - изм4+" xfId="622" xr:uid="{00000000-0005-0000-0000-00006D020000}"/>
    <cellStyle name="_ПИР ТЭО ЛПДС Оса  РВСП-5000 №5 ООО Стройновация" xfId="623" xr:uid="{00000000-0005-0000-0000-00006E020000}"/>
    <cellStyle name="_План закупок" xfId="624" xr:uid="{00000000-0005-0000-0000-00006F020000}"/>
    <cellStyle name="_План закупок в 2007г по инвестпроекту 2007-2011 (1)" xfId="625" xr:uid="{00000000-0005-0000-0000-000070020000}"/>
    <cellStyle name="_План КВ 2006г (с опережающим) (ОНСС) (3) от 22.03.06" xfId="626" xr:uid="{00000000-0005-0000-0000-000071020000}"/>
    <cellStyle name="_План по ШБ в разрезе цехов на 1кв." xfId="627" xr:uid="{00000000-0005-0000-0000-000072020000}"/>
    <cellStyle name="_План поставок" xfId="628" xr:uid="{00000000-0005-0000-0000-000073020000}"/>
    <cellStyle name="_План финансирования январь, февраль в номенклатуре УМТО" xfId="629" xr:uid="{00000000-0005-0000-0000-000074020000}"/>
    <cellStyle name="_ПЛОЩАДКА 4" xfId="630" xr:uid="{00000000-0005-0000-0000-000075020000}"/>
    <cellStyle name="_ПНР" xfId="631" xr:uid="{00000000-0005-0000-0000-000076020000}"/>
    <cellStyle name="_Потребность в МТР для УДН и Г на 1 кв. 2005 г. 2" xfId="632" xr:uid="{00000000-0005-0000-0000-000077020000}"/>
    <cellStyle name="_почта (6)" xfId="633" xr:uid="{00000000-0005-0000-0000-000078020000}"/>
    <cellStyle name="_пр.4 " xfId="634" xr:uid="{00000000-0005-0000-0000-000079020000}"/>
    <cellStyle name="_пр.4  2" xfId="635" xr:uid="{00000000-0005-0000-0000-00007A020000}"/>
    <cellStyle name="_пр.5" xfId="636" xr:uid="{00000000-0005-0000-0000-00007B020000}"/>
    <cellStyle name="_Прилож к договору по бурение на 2007 г (РН-Б)" xfId="637" xr:uid="{00000000-0005-0000-0000-00007C020000}"/>
    <cellStyle name="_Приложение  1 (обеспечен  января) от 24 01" xfId="638" xr:uid="{00000000-0005-0000-0000-00007D020000}"/>
    <cellStyle name="_Приложение  1 (обеспечен  января) от 24 01 2" xfId="639" xr:uid="{00000000-0005-0000-0000-00007E020000}"/>
    <cellStyle name="_Приложение  1 (обеспечен  января) от 24 01_инф. КВ по утв ПКВ" xfId="640" xr:uid="{00000000-0005-0000-0000-00007F020000}"/>
    <cellStyle name="_Приложение  1 (обеспечен  января) от 24 01_инф. КВ по утв ПКВ 2" xfId="641" xr:uid="{00000000-0005-0000-0000-000080020000}"/>
    <cellStyle name="_Приложение  1 (обеспечен. ноября) от 30.11" xfId="642" xr:uid="{00000000-0005-0000-0000-000081020000}"/>
    <cellStyle name="_Приложение  1 (обеспечен. ноября) от 30.11 2" xfId="643" xr:uid="{00000000-0005-0000-0000-000082020000}"/>
    <cellStyle name="_Приложение  1 (обеспечен. ноября) от 30.11_инф. КВ по утв ПКВ" xfId="644" xr:uid="{00000000-0005-0000-0000-000083020000}"/>
    <cellStyle name="_Приложение  1 (обеспечен. ноября) от 30.11_инф. КВ по утв ПКВ 2" xfId="645" xr:uid="{00000000-0005-0000-0000-000084020000}"/>
    <cellStyle name="_Приложение 1 - Заявка на 2 квартал для УДНГ (2)" xfId="646" xr:uid="{00000000-0005-0000-0000-000085020000}"/>
    <cellStyle name="_Приложение 1 Потребность в МТР  на декабрь-04  (2)" xfId="647" xr:uid="{00000000-0005-0000-0000-000086020000}"/>
    <cellStyle name="_Приложение 1 ф. 9.1" xfId="648" xr:uid="{00000000-0005-0000-0000-000087020000}"/>
    <cellStyle name="_Приложение 15" xfId="649" xr:uid="{00000000-0005-0000-0000-000088020000}"/>
    <cellStyle name="_Приложение № 4 - Расценки химреагентов и пробок" xfId="650" xr:uid="{00000000-0005-0000-0000-000089020000}"/>
    <cellStyle name="_Приложение №1" xfId="651" xr:uid="{00000000-0005-0000-0000-00008A020000}"/>
    <cellStyle name="_Приложение №1 Заявка на 2-е полугодие" xfId="652" xr:uid="{00000000-0005-0000-0000-00008B020000}"/>
    <cellStyle name="_Приложение к разделу 10 Налоги" xfId="653" xr:uid="{00000000-0005-0000-0000-00008C020000}"/>
    <cellStyle name="_Приложение к разделу 10 Налоги_Maket БП" xfId="654" xr:uid="{00000000-0005-0000-0000-00008D020000}"/>
    <cellStyle name="_Приложение к разделу 10 Налоги_Копия выручки 2_161008" xfId="655" xr:uid="{00000000-0005-0000-0000-00008E020000}"/>
    <cellStyle name="_Приложение к разделу 10 Налоги_Копия выручки 211" xfId="656" xr:uid="{00000000-0005-0000-0000-00008F020000}"/>
    <cellStyle name="_Приложение к разделу 10 Налоги_РБ Ванкор 17" xfId="657" xr:uid="{00000000-0005-0000-0000-000090020000}"/>
    <cellStyle name="_Приложение к разделу 10 Налоги_РБ ВСНК 141108" xfId="658" xr:uid="{00000000-0005-0000-0000-000091020000}"/>
    <cellStyle name="_Приложение к разделу 10 Налоги_Стоимость Юр_81  РБ ЮТМ_в ЦАУ_221008" xfId="659" xr:uid="{00000000-0005-0000-0000-000092020000}"/>
    <cellStyle name="_Приложение к разделу 10 Налоги_ЭБ ВСНК" xfId="660" xr:uid="{00000000-0005-0000-0000-000093020000}"/>
    <cellStyle name="_Приложение к разделу 10 Налоги_ЭБ ВСНК ред 131108" xfId="661" xr:uid="{00000000-0005-0000-0000-000094020000}"/>
    <cellStyle name="_Приложения по стоимости" xfId="662" xr:uid="{00000000-0005-0000-0000-000095020000}"/>
    <cellStyle name="_Пример расчета" xfId="663" xr:uid="{00000000-0005-0000-0000-000096020000}"/>
    <cellStyle name="_Пример." xfId="664" xr:uid="{00000000-0005-0000-0000-000097020000}"/>
    <cellStyle name="_Пример._Книга1" xfId="665" xr:uid="{00000000-0005-0000-0000-000098020000}"/>
    <cellStyle name="_Пример._Книга1_Анализ_СС тендер 09 свод" xfId="666" xr:uid="{00000000-0005-0000-0000-000099020000}"/>
    <cellStyle name="_Пример._Книга1_Анализ_СС тендер 09 свод_копия для доработки_090908" xfId="667" xr:uid="{00000000-0005-0000-0000-00009A020000}"/>
    <cellStyle name="_Пример._Книга1_Копия выручки 2_161008" xfId="668" xr:uid="{00000000-0005-0000-0000-00009B020000}"/>
    <cellStyle name="_Пример._Книга1_Копия выручки 211" xfId="669" xr:uid="{00000000-0005-0000-0000-00009C020000}"/>
    <cellStyle name="_Пример._Книга1_РБ Ванкор 17" xfId="670" xr:uid="{00000000-0005-0000-0000-00009D020000}"/>
    <cellStyle name="_Пример._Книга1_РБ ВСНК 141108" xfId="671" xr:uid="{00000000-0005-0000-0000-00009E020000}"/>
    <cellStyle name="_Пример._Книга1_Стоимость Юр_81  РБ ЮТМ_в ЦАУ_221008" xfId="672" xr:uid="{00000000-0005-0000-0000-00009F020000}"/>
    <cellStyle name="_Пример._Книга1_ЭБ ВСНК" xfId="673" xr:uid="{00000000-0005-0000-0000-0000A0020000}"/>
    <cellStyle name="_Пример._Книга1_ЭБ ВСНК ред 131108" xfId="674" xr:uid="{00000000-0005-0000-0000-0000A1020000}"/>
    <cellStyle name="_Пример._Разделы 14, 8(1).2, 9  БП РН-Бурение 2008-2012 (ВАНКОР)" xfId="675" xr:uid="{00000000-0005-0000-0000-0000A2020000}"/>
    <cellStyle name="_Прогноз ПланПиУ (GUB) 1кв" xfId="676" xr:uid="{00000000-0005-0000-0000-0000A3020000}"/>
    <cellStyle name="_Прогноз ПланПиУ (GUB) 1кв_Maket БП" xfId="677" xr:uid="{00000000-0005-0000-0000-0000A4020000}"/>
    <cellStyle name="_Прогноз ПланПиУ (GUB) 1кв_Копия выручки 2_161008" xfId="678" xr:uid="{00000000-0005-0000-0000-0000A5020000}"/>
    <cellStyle name="_Прогноз ПланПиУ (GUB) 1кв_Копия выручки 211" xfId="679" xr:uid="{00000000-0005-0000-0000-0000A6020000}"/>
    <cellStyle name="_Прогноз ПланПиУ (GUB) 1кв_РБ Ванкор 17" xfId="680" xr:uid="{00000000-0005-0000-0000-0000A7020000}"/>
    <cellStyle name="_Прогноз ПланПиУ (GUB) 1кв_РБ ВСНК 141108" xfId="681" xr:uid="{00000000-0005-0000-0000-0000A8020000}"/>
    <cellStyle name="_Прогноз ПланПиУ (GUB) 1кв_Стоимость Юр_81  РБ ЮТМ_в ЦАУ_221008" xfId="682" xr:uid="{00000000-0005-0000-0000-0000A9020000}"/>
    <cellStyle name="_Прогноз ПланПиУ (GUB) 1кв_ЭБ ВСНК" xfId="683" xr:uid="{00000000-0005-0000-0000-0000AA020000}"/>
    <cellStyle name="_Прогноз ПланПиУ (GUB) 1кв_ЭБ ВСНК ред 131108" xfId="684" xr:uid="{00000000-0005-0000-0000-0000AB020000}"/>
    <cellStyle name="_Программа перевооружения 2007-2011(4)" xfId="685" xr:uid="{00000000-0005-0000-0000-0000AC020000}"/>
    <cellStyle name="_Программа тех перевооружения 07-11 (24.08.06)" xfId="686" xr:uid="{00000000-0005-0000-0000-0000AD020000}"/>
    <cellStyle name="_Программа тех перевооружения 07-11 (24.08.06)_Р.12 Труд" xfId="687" xr:uid="{00000000-0005-0000-0000-0000AE020000}"/>
    <cellStyle name="_Программа тех перевооружения 2007-2011 09 11Губкинский" xfId="688" xr:uid="{00000000-0005-0000-0000-0000AF020000}"/>
    <cellStyle name="_Программа тех перевооружения 2007-2011 Губкинский 02 09" xfId="689" xr:uid="{00000000-0005-0000-0000-0000B0020000}"/>
    <cellStyle name="_Программа тех перевооружения 2007-2011 Краснодарский" xfId="690" xr:uid="{00000000-0005-0000-0000-0000B1020000}"/>
    <cellStyle name="_Программа техперевооружения от 01 09 06" xfId="691" xr:uid="{00000000-0005-0000-0000-0000B2020000}"/>
    <cellStyle name="_Программа техперевооружения от 01 09 06_Р.12 Труд" xfId="692" xr:uid="{00000000-0005-0000-0000-0000B3020000}"/>
    <cellStyle name="_Программа финансирования и ввода ОС по ПТОиП 2007 2008-2012 в12-_5" xfId="693" xr:uid="{00000000-0005-0000-0000-0000B4020000}"/>
    <cellStyle name="_Проектные работы" xfId="694" xr:uid="{00000000-0005-0000-0000-0000B5020000}"/>
    <cellStyle name="_Проектные работы_РБС ф-1" xfId="695" xr:uid="{00000000-0005-0000-0000-0000B6020000}"/>
    <cellStyle name="_Проектные работы_форма 2 - АЗС и склады" xfId="696" xr:uid="{00000000-0005-0000-0000-0000B7020000}"/>
    <cellStyle name="_Проектные работы_форма 2 - изм4+" xfId="697" xr:uid="{00000000-0005-0000-0000-0000B8020000}"/>
    <cellStyle name="_ПС_Бурение_2009-2013_План_v5" xfId="698" xr:uid="{00000000-0005-0000-0000-0000B9020000}"/>
    <cellStyle name="_ПС-35 6 кВ куст №5 Двуреченского нмр май" xfId="699" xr:uid="{00000000-0005-0000-0000-0000BA020000}"/>
    <cellStyle name="_ПТП ввод ОС 2007 год" xfId="700" xr:uid="{00000000-0005-0000-0000-0000BB020000}"/>
    <cellStyle name="_р Сыня Сметы СМН-11" xfId="701" xr:uid="{00000000-0005-0000-0000-0000BC020000}"/>
    <cellStyle name="_р Сыня Сметы СМН-11_РБС ф-1" xfId="702" xr:uid="{00000000-0005-0000-0000-0000BD020000}"/>
    <cellStyle name="_р Сыня Сметы СМН-11_форма 2 - АЗС и склады" xfId="703" xr:uid="{00000000-0005-0000-0000-0000BE020000}"/>
    <cellStyle name="_р Сыня Сметы СМН-11_форма 2 - изм4+" xfId="704" xr:uid="{00000000-0005-0000-0000-0000BF020000}"/>
    <cellStyle name="_р Холуйница Сметы СМН-11" xfId="705" xr:uid="{00000000-0005-0000-0000-0000C0020000}"/>
    <cellStyle name="_р Холуйница Сметы СМН-11_РБС ф-1" xfId="706" xr:uid="{00000000-0005-0000-0000-0000C1020000}"/>
    <cellStyle name="_р Холуйница Сметы СМН-11_форма 2 - АЗС и склады" xfId="707" xr:uid="{00000000-0005-0000-0000-0000C2020000}"/>
    <cellStyle name="_р Холуйница Сметы СМН-11_форма 2 - изм4+" xfId="708" xr:uid="{00000000-0005-0000-0000-0000C3020000}"/>
    <cellStyle name="_р. 10" xfId="709" xr:uid="{00000000-0005-0000-0000-0000C4020000}"/>
    <cellStyle name="_р. 10_Maket БП" xfId="710" xr:uid="{00000000-0005-0000-0000-0000C5020000}"/>
    <cellStyle name="_р. 10_Копия выручки 2_161008" xfId="711" xr:uid="{00000000-0005-0000-0000-0000C6020000}"/>
    <cellStyle name="_р. 10_Копия выручки 211" xfId="712" xr:uid="{00000000-0005-0000-0000-0000C7020000}"/>
    <cellStyle name="_р. 10_РБ Ванкор 17" xfId="713" xr:uid="{00000000-0005-0000-0000-0000C8020000}"/>
    <cellStyle name="_р. 10_РБ ВСНК 141108" xfId="714" xr:uid="{00000000-0005-0000-0000-0000C9020000}"/>
    <cellStyle name="_р. 10_Стоимость Юр_81  РБ ЮТМ_в ЦАУ_221008" xfId="715" xr:uid="{00000000-0005-0000-0000-0000CA020000}"/>
    <cellStyle name="_р. 10_ЭБ ВСНК" xfId="716" xr:uid="{00000000-0005-0000-0000-0000CB020000}"/>
    <cellStyle name="_р. 10_ЭБ ВСНК ред 131108" xfId="717" xr:uid="{00000000-0005-0000-0000-0000CC020000}"/>
    <cellStyle name="_р. 11" xfId="718" xr:uid="{00000000-0005-0000-0000-0000CD020000}"/>
    <cellStyle name="_р. 11_Maket БП" xfId="719" xr:uid="{00000000-0005-0000-0000-0000CE020000}"/>
    <cellStyle name="_р. 11_Копия выручки 2_161008" xfId="720" xr:uid="{00000000-0005-0000-0000-0000CF020000}"/>
    <cellStyle name="_р. 11_Копия выручки 211" xfId="721" xr:uid="{00000000-0005-0000-0000-0000D0020000}"/>
    <cellStyle name="_р. 11_РБ Ванкор 17" xfId="722" xr:uid="{00000000-0005-0000-0000-0000D1020000}"/>
    <cellStyle name="_р. 11_РБ ВСНК 141108" xfId="723" xr:uid="{00000000-0005-0000-0000-0000D2020000}"/>
    <cellStyle name="_р. 11_Стоимость Юр_81  РБ ЮТМ_в ЦАУ_221008" xfId="724" xr:uid="{00000000-0005-0000-0000-0000D3020000}"/>
    <cellStyle name="_р. 11_ЭБ ВСНК" xfId="725" xr:uid="{00000000-0005-0000-0000-0000D4020000}"/>
    <cellStyle name="_р. 11_ЭБ ВСНК ред 131108" xfId="726" xr:uid="{00000000-0005-0000-0000-0000D5020000}"/>
    <cellStyle name="_р. 8,2, 9, 14 ГФ" xfId="727" xr:uid="{00000000-0005-0000-0000-0000D6020000}"/>
    <cellStyle name="_Р.12 Труд" xfId="728" xr:uid="{00000000-0005-0000-0000-0000D7020000}"/>
    <cellStyle name="_Р.12 Труд_Maket БП" xfId="729" xr:uid="{00000000-0005-0000-0000-0000D8020000}"/>
    <cellStyle name="_Р.12 Труд_авиация" xfId="730" xr:uid="{00000000-0005-0000-0000-0000D9020000}"/>
    <cellStyle name="_Р.12 Труд_Анализ СС" xfId="731" xr:uid="{00000000-0005-0000-0000-0000DA020000}"/>
    <cellStyle name="_Р.12 Труд_Анализ СС_май_08" xfId="732" xr:uid="{00000000-0005-0000-0000-0000DB020000}"/>
    <cellStyle name="_Р.12 Труд_Анализ_СС тендер 09 свод" xfId="733" xr:uid="{00000000-0005-0000-0000-0000DC020000}"/>
    <cellStyle name="_Р.12 Труд_Анализ_СС тендер 09 свод расшифровка" xfId="734" xr:uid="{00000000-0005-0000-0000-0000DD020000}"/>
    <cellStyle name="_Р.12 Труд_Анализ_СС тендер 09 свод_копия для доработки_090908" xfId="735" xr:uid="{00000000-0005-0000-0000-0000DE020000}"/>
    <cellStyle name="_Р.12 Труд_Анализ_СС_ВСНК" xfId="736" xr:uid="{00000000-0005-0000-0000-0000DF020000}"/>
    <cellStyle name="_Р.12 Труд_Анализ_СС_от Парпаева_270208" xfId="737" xr:uid="{00000000-0005-0000-0000-0000E0020000}"/>
    <cellStyle name="_Р.12 Труд_выручка ВСНК" xfId="738" xr:uid="{00000000-0005-0000-0000-0000E1020000}"/>
    <cellStyle name="_Р.12 Труд_Выручка ЭБ ВСНК 09 ред.241108" xfId="739" xr:uid="{00000000-0005-0000-0000-0000E2020000}"/>
    <cellStyle name="_Р.12 Труд_Выручка ЭБ ВСНК 09 ред.241108_для ВСНК" xfId="740" xr:uid="{00000000-0005-0000-0000-0000E3020000}"/>
    <cellStyle name="_Р.12 Труд_Генподряд водозабор_СС_тендер_09" xfId="741" xr:uid="{00000000-0005-0000-0000-0000E4020000}"/>
    <cellStyle name="_Р.12 Труд_Книга1" xfId="742" xr:uid="{00000000-0005-0000-0000-0000E5020000}"/>
    <cellStyle name="_Р.12 Труд_Книга1_Анализ_СС тендер 09 свод" xfId="743" xr:uid="{00000000-0005-0000-0000-0000E6020000}"/>
    <cellStyle name="_Р.12 Труд_Книга1_Анализ_СС тендер 09 свод_копия для доработки_090908" xfId="744" xr:uid="{00000000-0005-0000-0000-0000E7020000}"/>
    <cellStyle name="_Р.12 Труд_Книга1_Копия выручки 2_161008" xfId="745" xr:uid="{00000000-0005-0000-0000-0000E8020000}"/>
    <cellStyle name="_Р.12 Труд_Книга1_Копия выручки 211" xfId="746" xr:uid="{00000000-0005-0000-0000-0000E9020000}"/>
    <cellStyle name="_Р.12 Труд_Книга1_РБ Ванкор 17" xfId="747" xr:uid="{00000000-0005-0000-0000-0000EA020000}"/>
    <cellStyle name="_Р.12 Труд_Книга1_РБ ВСНК 141108" xfId="748" xr:uid="{00000000-0005-0000-0000-0000EB020000}"/>
    <cellStyle name="_Р.12 Труд_Книга1_Стоимость Юр_81  РБ ЮТМ_в ЦАУ_221008" xfId="749" xr:uid="{00000000-0005-0000-0000-0000EC020000}"/>
    <cellStyle name="_Р.12 Труд_Книга1_ЭБ ВСНК" xfId="750" xr:uid="{00000000-0005-0000-0000-0000ED020000}"/>
    <cellStyle name="_Р.12 Труд_Книга1_ЭБ ВСНК ред 131108" xfId="751" xr:uid="{00000000-0005-0000-0000-0000EE020000}"/>
    <cellStyle name="_Р.12 Труд_Копия выручки 2" xfId="752" xr:uid="{00000000-0005-0000-0000-0000EF020000}"/>
    <cellStyle name="_Р.12 Труд_Копия выручки 2_161008" xfId="753" xr:uid="{00000000-0005-0000-0000-0000F0020000}"/>
    <cellStyle name="_Р.12 Труд_Копия выручки 211" xfId="754" xr:uid="{00000000-0005-0000-0000-0000F1020000}"/>
    <cellStyle name="_Р.12 Труд_Копия стоимость Юр-81 ред 160309 печать" xfId="755" xr:uid="{00000000-0005-0000-0000-0000F2020000}"/>
    <cellStyle name="_Р.12 Труд_ЛОТ № 01 (ЭБ куст №1) ред" xfId="756" xr:uid="{00000000-0005-0000-0000-0000F3020000}"/>
    <cellStyle name="_Р.12 Труд_оборудование ЮР" xfId="757" xr:uid="{00000000-0005-0000-0000-0000F4020000}"/>
    <cellStyle name="_Р.12 Труд_Приложения к дог_ОТС_ред ВСФ_090408" xfId="758" xr:uid="{00000000-0005-0000-0000-0000F5020000}"/>
    <cellStyle name="_Р.12 Труд_Разделы 14, 8(1).2, 9  БП РН-Бурение 2008-2012 (ВАНКОР)" xfId="759" xr:uid="{00000000-0005-0000-0000-0000F6020000}"/>
    <cellStyle name="_Р.12 Труд_расчет БПО 081008" xfId="760" xr:uid="{00000000-0005-0000-0000-0000F7020000}"/>
    <cellStyle name="_Р.12 Труд_расчет БПО 160708" xfId="761" xr:uid="{00000000-0005-0000-0000-0000F8020000}"/>
    <cellStyle name="_Р.12 Труд_расчет СС_ВСНК" xfId="762" xr:uid="{00000000-0005-0000-0000-0000F9020000}"/>
    <cellStyle name="_Р.12 Труд_расчет СС_ВСНК_09 расшифровка" xfId="763" xr:uid="{00000000-0005-0000-0000-0000FA020000}"/>
    <cellStyle name="_Р.12 Труд_расчет СС_ВСНК_09 расшифровка ред 081008" xfId="764" xr:uid="{00000000-0005-0000-0000-0000FB020000}"/>
    <cellStyle name="_Р.12 Труд_расчет СС_ВСНК_с БКФ" xfId="765" xr:uid="{00000000-0005-0000-0000-0000FC020000}"/>
    <cellStyle name="_Р.12 Труд_расчет СС_ВСНК_ЭБ_09 ред 111108" xfId="766" xr:uid="{00000000-0005-0000-0000-0000FD020000}"/>
    <cellStyle name="_Р.12 Труд_расчет СС_ВСНК_ЭБ_09 ред 161008" xfId="767" xr:uid="{00000000-0005-0000-0000-0000FE020000}"/>
    <cellStyle name="_Р.12 Труд_расчет СС_ВСНК_ЭБ_09 ред 201008" xfId="768" xr:uid="{00000000-0005-0000-0000-0000FF020000}"/>
    <cellStyle name="_Р.12 Труд_Расчет стоимости Петим-3 ред 250309" xfId="769" xr:uid="{00000000-0005-0000-0000-000000030000}"/>
    <cellStyle name="_Р.12 Труд_Расчет стоимости скв 17 Ванкор" xfId="770" xr:uid="{00000000-0005-0000-0000-000001030000}"/>
    <cellStyle name="_Р.12 Труд_РасчетССГП 1 - 2008" xfId="771" xr:uid="{00000000-0005-0000-0000-000002030000}"/>
    <cellStyle name="_Р.12 Труд_РасчетССГП для ВСНК_191207" xfId="772" xr:uid="{00000000-0005-0000-0000-000003030000}"/>
    <cellStyle name="_Р.12 Труд_РБ Ванкор 17" xfId="773" xr:uid="{00000000-0005-0000-0000-000004030000}"/>
    <cellStyle name="_Р.12 Труд_РБ ВСНК 141108" xfId="774" xr:uid="{00000000-0005-0000-0000-000005030000}"/>
    <cellStyle name="_Р.12 Труд_Стоимость Юр_81  РБ ЮТМ_в ЦАУ_221008" xfId="775" xr:uid="{00000000-0005-0000-0000-000006030000}"/>
    <cellStyle name="_Р.12 Труд_стоимость Юр-81 ред 130309 от Дьяченко" xfId="776" xr:uid="{00000000-0005-0000-0000-000007030000}"/>
    <cellStyle name="_Р.12 Труд_стоимость Юр-81 ред 131208 для ВСНК нов сервис" xfId="777" xr:uid="{00000000-0005-0000-0000-000008030000}"/>
    <cellStyle name="_Р.12 Труд_стоимость Юр-81 ред 140209 в договор" xfId="778" xr:uid="{00000000-0005-0000-0000-000009030000}"/>
    <cellStyle name="_Р.12 Труд_стоимость Юр-81 ред 160309" xfId="779" xr:uid="{00000000-0005-0000-0000-00000A030000}"/>
    <cellStyle name="_Р.12 Труд_стоимость Юр-81 ред 180209" xfId="780" xr:uid="{00000000-0005-0000-0000-00000B030000}"/>
    <cellStyle name="_Р.12 Труд_стоимость Юр-81 ред 190109" xfId="781" xr:uid="{00000000-0005-0000-0000-00000C030000}"/>
    <cellStyle name="_Р.12 Труд_стоимость Юр-81 ред 200309 на 100 сут.уточн_1" xfId="782" xr:uid="{00000000-0005-0000-0000-00000D030000}"/>
    <cellStyle name="_Р.12 Труд_стоимость Юр-81 ред 210109 в договор" xfId="783" xr:uid="{00000000-0005-0000-0000-00000E030000}"/>
    <cellStyle name="_Р.12 Труд_стоимость Юр-81 ред 241108" xfId="784" xr:uid="{00000000-0005-0000-0000-00000F030000}"/>
    <cellStyle name="_Р.12 Труд_стоимость Юр-81 ред 241108 без БПО" xfId="785" xr:uid="{00000000-0005-0000-0000-000010030000}"/>
    <cellStyle name="_Р.12 Труд_стоимость Юр-81 ред 241108_в ВСНК" xfId="786" xr:uid="{00000000-0005-0000-0000-000011030000}"/>
    <cellStyle name="_Р.12 Труд_фонд БПО ЮТЭ(для ПЭО)" xfId="787" xr:uid="{00000000-0005-0000-0000-000012030000}"/>
    <cellStyle name="_Р.12 Труд_ЭБ ВСНК" xfId="788" xr:uid="{00000000-0005-0000-0000-000013030000}"/>
    <cellStyle name="_Р.12 Труд_ЭБ ВСНК ред 131108" xfId="789" xr:uid="{00000000-0005-0000-0000-000014030000}"/>
    <cellStyle name="_Р.12 Труд_Юр-81 исп со станка" xfId="790" xr:uid="{00000000-0005-0000-0000-000015030000}"/>
    <cellStyle name="_РCCCформат" xfId="791" xr:uid="{00000000-0005-0000-0000-000016030000}"/>
    <cellStyle name="_Рабочие станции" xfId="792" xr:uid="{00000000-0005-0000-0000-000017030000}"/>
    <cellStyle name="_Рабочие станции_РБС ф-1" xfId="793" xr:uid="{00000000-0005-0000-0000-000018030000}"/>
    <cellStyle name="_Рабочие станции_форма 2 - АЗС и склады" xfId="794" xr:uid="{00000000-0005-0000-0000-000019030000}"/>
    <cellStyle name="_Рабочие станции_форма 2 - изм4+" xfId="795" xr:uid="{00000000-0005-0000-0000-00001A030000}"/>
    <cellStyle name="_Раз  11 Э и ПБ " xfId="796" xr:uid="{00000000-0005-0000-0000-00001B030000}"/>
    <cellStyle name="_Разведка ПНГ Лавч.2008г" xfId="797" xr:uid="{00000000-0005-0000-0000-00001C030000}"/>
    <cellStyle name="_Раздел 14 утв биз-пл на 2007г" xfId="798" xr:uid="{00000000-0005-0000-0000-00001D030000}"/>
    <cellStyle name="_Раздел 14 утв биз-пл на 2007г_Разделы 14, 8(1).2, 9  БП РН-Бурение 2008-2012 (ВАНКОР)" xfId="799" xr:uid="{00000000-0005-0000-0000-00001E030000}"/>
    <cellStyle name="_Раздел 20 макет new" xfId="800" xr:uid="{00000000-0005-0000-0000-00001F030000}"/>
    <cellStyle name="_раздел 8 2 утвержденный" xfId="801" xr:uid="{00000000-0005-0000-0000-000020030000}"/>
    <cellStyle name="_Раздел 8. 2 9  14 от 9.11.07" xfId="802" xr:uid="{00000000-0005-0000-0000-000021030000}"/>
    <cellStyle name="_Раздел 8.2  план 2008-2012гг" xfId="803" xr:uid="{00000000-0005-0000-0000-000022030000}"/>
    <cellStyle name="_Раздел 8.2  план 2008-2012гг 2" xfId="804" xr:uid="{00000000-0005-0000-0000-000023030000}"/>
    <cellStyle name="_Раздел 8.2  план 2008-2012гг 3" xfId="805" xr:uid="{00000000-0005-0000-0000-000024030000}"/>
    <cellStyle name="_Раздел 8.2 ОАО ВСНК" xfId="806" xr:uid="{00000000-0005-0000-0000-000025030000}"/>
    <cellStyle name="_Раздел 8.2 ОАО ВСНК 2" xfId="807" xr:uid="{00000000-0005-0000-0000-000026030000}"/>
    <cellStyle name="_Раздел 8.2 ОАО ВСНК 3" xfId="808" xr:uid="{00000000-0005-0000-0000-000027030000}"/>
    <cellStyle name="_Раздел19 ОАО ВСНК" xfId="809" xr:uid="{00000000-0005-0000-0000-000028030000}"/>
    <cellStyle name="_Раздел19 ОАО ВСНК 2" xfId="810" xr:uid="{00000000-0005-0000-0000-000029030000}"/>
    <cellStyle name="_Раздел19 ОАО ВСНК 3" xfId="811" xr:uid="{00000000-0005-0000-0000-00002A030000}"/>
    <cellStyle name="_Разделы 15,16 БП 2008-2012" xfId="812" xr:uid="{00000000-0005-0000-0000-00002B030000}"/>
    <cellStyle name="_Разделы 15,16 БП 2008-2012_Maket БП" xfId="813" xr:uid="{00000000-0005-0000-0000-00002C030000}"/>
    <cellStyle name="_Разделы 15,16 БП 2008-2012_Копия выручки 2_161008" xfId="814" xr:uid="{00000000-0005-0000-0000-00002D030000}"/>
    <cellStyle name="_Разделы 15,16 БП 2008-2012_Копия выручки 211" xfId="815" xr:uid="{00000000-0005-0000-0000-00002E030000}"/>
    <cellStyle name="_Разделы 15,16 БП 2008-2012_РБ Ванкор 17" xfId="816" xr:uid="{00000000-0005-0000-0000-00002F030000}"/>
    <cellStyle name="_Разделы 15,16 БП 2008-2012_РБ ВСНК 141108" xfId="817" xr:uid="{00000000-0005-0000-0000-000030030000}"/>
    <cellStyle name="_Разделы 15,16 БП 2008-2012_Стоимость Юр_81  РБ ЮТМ_в ЦАУ_221008" xfId="818" xr:uid="{00000000-0005-0000-0000-000031030000}"/>
    <cellStyle name="_Разделы 15,16 БП 2008-2012_ЭБ ВСНК" xfId="819" xr:uid="{00000000-0005-0000-0000-000032030000}"/>
    <cellStyle name="_Разделы 15,16 БП 2008-2012_ЭБ ВСНК ред 131108" xfId="820" xr:uid="{00000000-0005-0000-0000-000033030000}"/>
    <cellStyle name="_Разделы 8.1.1.  8.1.2.  8.1.3 в-3" xfId="821" xr:uid="{00000000-0005-0000-0000-000034030000}"/>
    <cellStyle name="_Разделы 8.1.1.  8.1.2.  8.1.3 в-3_Maket БП" xfId="822" xr:uid="{00000000-0005-0000-0000-000035030000}"/>
    <cellStyle name="_Разделы 8.1.1.  8.1.2.  8.1.3 в-3_Копия выручки 2_161008" xfId="823" xr:uid="{00000000-0005-0000-0000-000036030000}"/>
    <cellStyle name="_Разделы 8.1.1.  8.1.2.  8.1.3 в-3_Копия выручки 211" xfId="824" xr:uid="{00000000-0005-0000-0000-000037030000}"/>
    <cellStyle name="_Разделы 8.1.1.  8.1.2.  8.1.3 в-3_РБ Ванкор 17" xfId="825" xr:uid="{00000000-0005-0000-0000-000038030000}"/>
    <cellStyle name="_Разделы 8.1.1.  8.1.2.  8.1.3 в-3_РБ ВСНК 141108" xfId="826" xr:uid="{00000000-0005-0000-0000-000039030000}"/>
    <cellStyle name="_Разделы 8.1.1.  8.1.2.  8.1.3 в-3_Стоимость Юр_81  РБ ЮТМ_в ЦАУ_221008" xfId="827" xr:uid="{00000000-0005-0000-0000-00003A030000}"/>
    <cellStyle name="_Разделы 8.1.1.  8.1.2.  8.1.3 в-3_ЭБ ВСНК" xfId="828" xr:uid="{00000000-0005-0000-0000-00003B030000}"/>
    <cellStyle name="_Разделы 8.1.1.  8.1.2.  8.1.3 в-3_ЭБ ВСНК ред 131108" xfId="829" xr:uid="{00000000-0005-0000-0000-00003C030000}"/>
    <cellStyle name="_Разделы 9148" xfId="830" xr:uid="{00000000-0005-0000-0000-00003D030000}"/>
    <cellStyle name="_Раскладка по цене РН-Б на 07г  (2) (2)" xfId="831" xr:uid="{00000000-0005-0000-0000-00003E030000}"/>
    <cellStyle name="_Расп отч в НПФ тендер 2008" xfId="832" xr:uid="{00000000-0005-0000-0000-00003F030000}"/>
    <cellStyle name="_Рассолопровод-ДОН_ВНГП_ВНИИСТ_посл_вариант" xfId="833" xr:uid="{00000000-0005-0000-0000-000040030000}"/>
    <cellStyle name="_Расчет затрат на содержание БКФ-2" xfId="834" xr:uid="{00000000-0005-0000-0000-000041030000}"/>
    <cellStyle name="_Расчет к бюджету" xfId="835" xr:uid="{00000000-0005-0000-0000-000042030000}"/>
    <cellStyle name="_Расчет капвлож.по скв.№15ВН на 2007г." xfId="836" xr:uid="{00000000-0005-0000-0000-000043030000}"/>
    <cellStyle name="_Расчет Л-Бурение" xfId="837" xr:uid="{00000000-0005-0000-0000-000044030000}"/>
    <cellStyle name="_Расчет Л-Бурение_Maket БП" xfId="838" xr:uid="{00000000-0005-0000-0000-000045030000}"/>
    <cellStyle name="_Расчет Л-Бурение_Копия выручки 2_161008" xfId="839" xr:uid="{00000000-0005-0000-0000-000046030000}"/>
    <cellStyle name="_Расчет Л-Бурение_Копия выручки 211" xfId="840" xr:uid="{00000000-0005-0000-0000-000047030000}"/>
    <cellStyle name="_Расчет Л-Бурение_РБ Ванкор 17" xfId="841" xr:uid="{00000000-0005-0000-0000-000048030000}"/>
    <cellStyle name="_Расчет Л-Бурение_РБ ВСНК 141108" xfId="842" xr:uid="{00000000-0005-0000-0000-000049030000}"/>
    <cellStyle name="_Расчет Л-Бурение_Стоимость Юр_81  РБ ЮТМ_в ЦАУ_221008" xfId="843" xr:uid="{00000000-0005-0000-0000-00004A030000}"/>
    <cellStyle name="_Расчет Л-Бурение_ЭБ ВСНК" xfId="844" xr:uid="{00000000-0005-0000-0000-00004B030000}"/>
    <cellStyle name="_Расчет Л-Бурение_ЭБ ВСНК ред 131108" xfId="845" xr:uid="{00000000-0005-0000-0000-00004C030000}"/>
    <cellStyle name="_Расчет по 1 кв  2005г " xfId="846" xr:uid="{00000000-0005-0000-0000-00004D030000}"/>
    <cellStyle name="_Расчет по месторождениям_Ввод 320" xfId="847" xr:uid="{00000000-0005-0000-0000-00004E030000}"/>
    <cellStyle name="_Расчет по месторождениям_Ввод 320 2" xfId="848" xr:uid="{00000000-0005-0000-0000-00004F030000}"/>
    <cellStyle name="_Расчет по месторождениям_Ввод 320_инф. КВ по утв ПКВ" xfId="849" xr:uid="{00000000-0005-0000-0000-000050030000}"/>
    <cellStyle name="_Расчет по месторождениям_Ввод 320_инф. КВ по утв ПКВ 2" xfId="850" xr:uid="{00000000-0005-0000-0000-000051030000}"/>
    <cellStyle name="_Расчет по месторождениям_Замена изнош_1706 отеч" xfId="851" xr:uid="{00000000-0005-0000-0000-000052030000}"/>
    <cellStyle name="_Расчет по месторождениям_Замена изнош_1706 отеч 2" xfId="852" xr:uid="{00000000-0005-0000-0000-000053030000}"/>
    <cellStyle name="_Расчет по месторождениям_Замена изнош_1706 отеч_инф. КВ по утв ПКВ" xfId="853" xr:uid="{00000000-0005-0000-0000-000054030000}"/>
    <cellStyle name="_Расчет по месторождениям_Замена изнош_1706 отеч_инф. КВ по утв ПКВ 2" xfId="854" xr:uid="{00000000-0005-0000-0000-000055030000}"/>
    <cellStyle name="_Расчет ССБП от 18.10.07 (анализ) в.1.4" xfId="855" xr:uid="{00000000-0005-0000-0000-000056030000}"/>
    <cellStyle name="_Расчет ССБП от 18.10.07 (анализ) в.1.5" xfId="856" xr:uid="{00000000-0005-0000-0000-000057030000}"/>
    <cellStyle name="_Расчёт стоимост 1 чел-часа по ПИР (КНТЦ1 ) (2)" xfId="857" xr:uid="{00000000-0005-0000-0000-000058030000}"/>
    <cellStyle name="_Расчёт стоимост 1 чел-часа по ПИР (КНТЦ1 ) (2)_РБС ф-1" xfId="858" xr:uid="{00000000-0005-0000-0000-000059030000}"/>
    <cellStyle name="_Расчёт стоимост 1 чел-часа по ПИР (КНТЦ1 ) (2)_форма 2 - АЗС и склады" xfId="859" xr:uid="{00000000-0005-0000-0000-00005A030000}"/>
    <cellStyle name="_Расчёт стоимост 1 чел-часа по ПИР (КНТЦ1 ) (2)_форма 2 - изм4+" xfId="860" xr:uid="{00000000-0005-0000-0000-00005B030000}"/>
    <cellStyle name="_Расчет стоимости скв" xfId="861" xr:uid="{00000000-0005-0000-0000-00005C030000}"/>
    <cellStyle name="_расчет ЭПБ" xfId="862" xr:uid="{00000000-0005-0000-0000-00005D030000}"/>
    <cellStyle name="_РасчетССБП" xfId="863" xr:uid="{00000000-0005-0000-0000-00005E030000}"/>
    <cellStyle name="_РасчетССГП" xfId="864" xr:uid="{00000000-0005-0000-0000-00005F030000}"/>
    <cellStyle name="_РБС демонтаж-1 пров. Кухаревой 18.05.10" xfId="865" xr:uid="{00000000-0005-0000-0000-000060030000}"/>
    <cellStyle name="_РБС Изм. 2  БТС-2  " xfId="866" xr:uid="{00000000-0005-0000-0000-000061030000}"/>
    <cellStyle name="_РБС мониторинг 1" xfId="867" xr:uid="{00000000-0005-0000-0000-000062030000}"/>
    <cellStyle name="_Реестр 01.07г" xfId="868" xr:uid="{00000000-0005-0000-0000-000063030000}"/>
    <cellStyle name="_Реестр 01.07г_Разделы 14, 8(1).2, 9  БП РН-Бурение 2008-2012 (ВАНКОР)" xfId="869" xr:uid="{00000000-0005-0000-0000-000064030000}"/>
    <cellStyle name="_Реестр объемов за  2007 г. " xfId="870" xr:uid="{00000000-0005-0000-0000-000065030000}"/>
    <cellStyle name="_Рек ППМН -Койва-1036 км 30 06" xfId="871" xr:uid="{00000000-0005-0000-0000-000066030000}"/>
    <cellStyle name="_Рек ППМН -Койва-1036 км 30 06_РБС ф-1" xfId="872" xr:uid="{00000000-0005-0000-0000-000067030000}"/>
    <cellStyle name="_Рек ППМН -Койва-1036 км 30 06_форма 2 - АЗС и склады" xfId="873" xr:uid="{00000000-0005-0000-0000-000068030000}"/>
    <cellStyle name="_Рек ППМН -Койва-1036 км 30 06_форма 2 - изм4+" xfId="874" xr:uid="{00000000-0005-0000-0000-000069030000}"/>
    <cellStyle name="_Рек резервуара ЖБР-3000 РП Унеча 7++" xfId="875" xr:uid="{00000000-0005-0000-0000-00006A030000}"/>
    <cellStyle name="_Рек. Шуйской  нефтебазы согл ВНИИСТ" xfId="876" xr:uid="{00000000-0005-0000-0000-00006B030000}"/>
    <cellStyle name="_Рек-я подпорной насосной Александровская" xfId="877" xr:uid="{00000000-0005-0000-0000-00006C030000}"/>
    <cellStyle name="_Ремонт скважин" xfId="878" xr:uid="{00000000-0005-0000-0000-00006D030000}"/>
    <cellStyle name="_Ростовский (3)" xfId="879" xr:uid="{00000000-0005-0000-0000-00006E030000}"/>
    <cellStyle name="_Ростовский (3)_02.02 Согласовано Смета АЗС склад  (0002-И-ЦУП ВСТО)" xfId="880" xr:uid="{00000000-0005-0000-0000-00006F030000}"/>
    <cellStyle name="_Ростовский (3)_08.02. ГТП Инж. защ." xfId="881" xr:uid="{00000000-0005-0000-0000-000070030000}"/>
    <cellStyle name="_Ростовский (3)_11004 ОПС Кимельтей 14.08.09г." xfId="882" xr:uid="{00000000-0005-0000-0000-000071030000}"/>
    <cellStyle name="_Ростовский (3)_11004 ОПС Кимельтей 14.08.09г. 2" xfId="883" xr:uid="{00000000-0005-0000-0000-000072030000}"/>
    <cellStyle name="_Ростовский (3)_24 02  УЦК Смета АЗС склад  (0002-И-ЦУП ВСТО)" xfId="884" xr:uid="{00000000-0005-0000-0000-000073030000}"/>
    <cellStyle name="_Ростовский (3)_28 01  ГТП Смета АЗС склад  (0002-И-ЦУП ВСТО)" xfId="885" xr:uid="{00000000-0005-0000-0000-000074030000}"/>
    <cellStyle name="_Ростовский (3)_Копия замечания Я-М 283-314 " xfId="886" xr:uid="{00000000-0005-0000-0000-000075030000}"/>
    <cellStyle name="_Ростовский (3)_ПИР АСТУЭ АИИСКУЭ 02_03_10" xfId="887" xr:uid="{00000000-0005-0000-0000-000076030000}"/>
    <cellStyle name="_Ростовский (3)_ПИР АСТУЭ АИИСКУЭ 02_03_10 2" xfId="888" xr:uid="{00000000-0005-0000-0000-000077030000}"/>
    <cellStyle name="_Ростовский (3)_ПИР ДОП работы -АИИСКУЭ НПС12_13" xfId="889" xr:uid="{00000000-0005-0000-0000-000078030000}"/>
    <cellStyle name="_Ростовский (3)_ПИР ДОП работы -АИИСКУЭ НПС12_13 2" xfId="890" xr:uid="{00000000-0005-0000-0000-000079030000}"/>
    <cellStyle name="_Ростовский (3)_форма 2 - изм4+" xfId="891" xr:uid="{00000000-0005-0000-0000-00007A030000}"/>
    <cellStyle name="_САР разбивка помес." xfId="892" xr:uid="{00000000-0005-0000-0000-00007B030000}"/>
    <cellStyle name="_САР разбивка помес._Р.12 Труд" xfId="893" xr:uid="{00000000-0005-0000-0000-00007C030000}"/>
    <cellStyle name="_САХ-1_ГЕОЛОГИЯ_2008_ФАКТ" xfId="894" xr:uid="{00000000-0005-0000-0000-00007D030000}"/>
    <cellStyle name="_Саша  ЗБС для планового" xfId="895" xr:uid="{00000000-0005-0000-0000-00007E030000}"/>
    <cellStyle name="_Свод AFE (блок А и Б) 29.12.03" xfId="896" xr:uid="{00000000-0005-0000-0000-00007F030000}"/>
    <cellStyle name="_СВОД БП" xfId="897" xr:uid="{00000000-0005-0000-0000-000080030000}"/>
    <cellStyle name="_СВОД БП_Maket БП" xfId="898" xr:uid="{00000000-0005-0000-0000-000081030000}"/>
    <cellStyle name="_СВОД БП_Копия выручки 2_161008" xfId="899" xr:uid="{00000000-0005-0000-0000-000082030000}"/>
    <cellStyle name="_СВОД БП_Копия выручки 211" xfId="900" xr:uid="{00000000-0005-0000-0000-000083030000}"/>
    <cellStyle name="_СВОД БП_РБ Ванкор 17" xfId="901" xr:uid="{00000000-0005-0000-0000-000084030000}"/>
    <cellStyle name="_СВОД БП_РБ ВСНК 141108" xfId="902" xr:uid="{00000000-0005-0000-0000-000085030000}"/>
    <cellStyle name="_СВОД БП_Стоимость Юр_81  РБ ЮТМ_в ЦАУ_221008" xfId="903" xr:uid="{00000000-0005-0000-0000-000086030000}"/>
    <cellStyle name="_СВОД БП_ЭБ ВСНК" xfId="904" xr:uid="{00000000-0005-0000-0000-000087030000}"/>
    <cellStyle name="_СВОД БП_ЭБ ВСНК ред 131108" xfId="905" xr:uid="{00000000-0005-0000-0000-000088030000}"/>
    <cellStyle name="_Свод ВН разведка 2008г" xfId="906" xr:uid="{00000000-0005-0000-0000-000089030000}"/>
    <cellStyle name="_свод пл.пуск" xfId="907" xr:uid="{00000000-0005-0000-0000-00008A030000}"/>
    <cellStyle name="_Свод по лизингу 2004 (2)" xfId="908" xr:uid="{00000000-0005-0000-0000-00008B030000}"/>
    <cellStyle name="_Свод по ПНГ от 11.07.07" xfId="909" xr:uid="{00000000-0005-0000-0000-00008C030000}"/>
    <cellStyle name="_Свод ТЭО + РД" xfId="910" xr:uid="{00000000-0005-0000-0000-00008D030000}"/>
    <cellStyle name="_Свод,ПР Новое строительство" xfId="911" xr:uid="{00000000-0005-0000-0000-00008E030000}"/>
    <cellStyle name="_сводная информация к защите (данные без индекса)" xfId="912" xr:uid="{00000000-0005-0000-0000-00008F030000}"/>
    <cellStyle name="_сводная информация к защите (данные без индекса) 2" xfId="913" xr:uid="{00000000-0005-0000-0000-000090030000}"/>
    <cellStyle name="_сводная информация к защите (данные без индекса)_инф. КВ по утв ПКВ" xfId="914" xr:uid="{00000000-0005-0000-0000-000091030000}"/>
    <cellStyle name="_сводная информация к защите (данные без индекса)_инф. КВ по утв ПКВ 2" xfId="915" xr:uid="{00000000-0005-0000-0000-000092030000}"/>
    <cellStyle name="_сводная информация к защите (данные без индекса)_Копия выручки 2" xfId="916" xr:uid="{00000000-0005-0000-0000-000093030000}"/>
    <cellStyle name="_сводная информация к защите (данные без индекса)_Лист3" xfId="917" xr:uid="{00000000-0005-0000-0000-000094030000}"/>
    <cellStyle name="_сводная информация к защите (данные без индекса)_ЛОТ № 01 (ЭБ куст №1) ред" xfId="918" xr:uid="{00000000-0005-0000-0000-000095030000}"/>
    <cellStyle name="_сводная информация к защите (данные без индекса)_ЛОТ № 01 (ЭБ куст №1) ред_Анализ_СС тендер 09 свод" xfId="919" xr:uid="{00000000-0005-0000-0000-000096030000}"/>
    <cellStyle name="_сводная информация к защите (данные без индекса)_ЛОТ № 01 (ЭБ куст №1) ред_Анализ_СС тендер 09 свод_копия для доработки_090908" xfId="920" xr:uid="{00000000-0005-0000-0000-000097030000}"/>
    <cellStyle name="_сводная информация к защите (данные без индекса)_Разделы 14, 8(1).2, 9  БП РН-Бурение 2008-2012 (ВАНКОР)" xfId="921" xr:uid="{00000000-0005-0000-0000-000098030000}"/>
    <cellStyle name="_сводная информация к защите (данные без индекса)_расчет СС_ВСНК_с БКФ" xfId="922" xr:uid="{00000000-0005-0000-0000-000099030000}"/>
    <cellStyle name="_сводная информация к защите (данные без индекса)_Расчет стоимости скв" xfId="923" xr:uid="{00000000-0005-0000-0000-00009A030000}"/>
    <cellStyle name="_сводная информация к защите (данные без индекса)_Расчет стоимости скв 17 Ванкор" xfId="924" xr:uid="{00000000-0005-0000-0000-00009B030000}"/>
    <cellStyle name="_сводная информация к защите (данные без индекса)_Расчет стоимости скв 17 Ванкор_Анализ_СС тендер 09 свод" xfId="925" xr:uid="{00000000-0005-0000-0000-00009C030000}"/>
    <cellStyle name="_сводная информация к защите (данные без индекса)_Расчет стоимости скв 17 Ванкор_Анализ_СС тендер 09 свод_копия для доработки_090908" xfId="926" xr:uid="{00000000-0005-0000-0000-00009D030000}"/>
    <cellStyle name="_сводная информация к защите (данные без индекса)_Расчет стоимости скв_авиация" xfId="927" xr:uid="{00000000-0005-0000-0000-00009E030000}"/>
    <cellStyle name="_сводная информация к защите (данные без индекса)_Расчет стоимости скв_Выручка ЭБ ВСНК 09 ред.241108" xfId="928" xr:uid="{00000000-0005-0000-0000-00009F030000}"/>
    <cellStyle name="_сводная информация к защите (данные без индекса)_Расчет стоимости скв_Выручка ЭБ ВСНК 09 ред.241108_для ВСНК" xfId="929" xr:uid="{00000000-0005-0000-0000-0000A0030000}"/>
    <cellStyle name="_сводная информация к защите (данные без индекса)_Расчет стоимости скв_Копия стоимость Юр-81 ред 160309 печать" xfId="930" xr:uid="{00000000-0005-0000-0000-0000A1030000}"/>
    <cellStyle name="_сводная информация к защите (данные без индекса)_Расчет стоимости скв_расчет БПО 141008" xfId="931" xr:uid="{00000000-0005-0000-0000-0000A2030000}"/>
    <cellStyle name="_сводная информация к защите (данные без индекса)_Расчет стоимости скв_расчет СС_ВСНК_ЭБ_09 ред 111108" xfId="932" xr:uid="{00000000-0005-0000-0000-0000A3030000}"/>
    <cellStyle name="_сводная информация к защите (данные без индекса)_Расчет стоимости скв_расчет СС_ВСНК_ЭБ_09 ред 161008" xfId="933" xr:uid="{00000000-0005-0000-0000-0000A4030000}"/>
    <cellStyle name="_сводная информация к защите (данные без индекса)_Расчет стоимости скв_расчет СС_ВСНК_ЭБ_09 ред 201008" xfId="934" xr:uid="{00000000-0005-0000-0000-0000A5030000}"/>
    <cellStyle name="_сводная информация к защите (данные без индекса)_Расчет стоимости скв_Расчет стоимости Петим-3 ред 250309" xfId="935" xr:uid="{00000000-0005-0000-0000-0000A6030000}"/>
    <cellStyle name="_сводная информация к защите (данные без индекса)_Расчет стоимости скв_стоимость Юр-81 ред 130309 от Дьяченко" xfId="936" xr:uid="{00000000-0005-0000-0000-0000A7030000}"/>
    <cellStyle name="_сводная информация к защите (данные без индекса)_Расчет стоимости скв_стоимость Юр-81 ред 131208 для ВСНК нов сервис" xfId="937" xr:uid="{00000000-0005-0000-0000-0000A8030000}"/>
    <cellStyle name="_сводная информация к защите (данные без индекса)_Расчет стоимости скв_стоимость Юр-81 ред 140209 в договор" xfId="938" xr:uid="{00000000-0005-0000-0000-0000A9030000}"/>
    <cellStyle name="_сводная информация к защите (данные без индекса)_Расчет стоимости скв_стоимость Юр-81 ред 160309" xfId="939" xr:uid="{00000000-0005-0000-0000-0000AA030000}"/>
    <cellStyle name="_сводная информация к защите (данные без индекса)_Расчет стоимости скв_стоимость Юр-81 ред 180209" xfId="940" xr:uid="{00000000-0005-0000-0000-0000AB030000}"/>
    <cellStyle name="_сводная информация к защите (данные без индекса)_Расчет стоимости скв_стоимость Юр-81 ред 190109" xfId="941" xr:uid="{00000000-0005-0000-0000-0000AC030000}"/>
    <cellStyle name="_сводная информация к защите (данные без индекса)_Расчет стоимости скв_стоимость Юр-81 ред 200309 на 100 сут.уточн_1" xfId="942" xr:uid="{00000000-0005-0000-0000-0000AD030000}"/>
    <cellStyle name="_сводная информация к защите (данные без индекса)_Расчет стоимости скв_стоимость Юр-81 ред 210109 в договор" xfId="943" xr:uid="{00000000-0005-0000-0000-0000AE030000}"/>
    <cellStyle name="_сводная информация к защите (данные без индекса)_Расчет стоимости скв_стоимость Юр-81 ред 241108" xfId="944" xr:uid="{00000000-0005-0000-0000-0000AF030000}"/>
    <cellStyle name="_сводная информация к защите (данные без индекса)_Расчет стоимости скв_стоимость Юр-81 ред 241108 без БПО" xfId="945" xr:uid="{00000000-0005-0000-0000-0000B0030000}"/>
    <cellStyle name="_сводная информация к защите (данные без индекса)_Расчет стоимости скв_стоимость Юр-81 ред 241108_в ВСНК" xfId="946" xr:uid="{00000000-0005-0000-0000-0000B1030000}"/>
    <cellStyle name="_сводная информация к защите (данные без индекса)_Расчет стоимости скв_Юр-81 исп со станка" xfId="947" xr:uid="{00000000-0005-0000-0000-0000B2030000}"/>
    <cellStyle name="_сводная информация к защите 2006 г. (данные без индекса)" xfId="948" xr:uid="{00000000-0005-0000-0000-0000B3030000}"/>
    <cellStyle name="_сводная информация к защите 2006 г. (данные без индекса) 2" xfId="949" xr:uid="{00000000-0005-0000-0000-0000B4030000}"/>
    <cellStyle name="_сводная информация к защите 2006 г. (данные без индекса)_инф. КВ по утв ПКВ" xfId="950" xr:uid="{00000000-0005-0000-0000-0000B5030000}"/>
    <cellStyle name="_сводная информация к защите 2006 г. (данные без индекса)_инф. КВ по утв ПКВ 2" xfId="951" xr:uid="{00000000-0005-0000-0000-0000B6030000}"/>
    <cellStyle name="_сводная информация к защите 2006 г. (данные без индекса)_Копия выручки 2" xfId="952" xr:uid="{00000000-0005-0000-0000-0000B7030000}"/>
    <cellStyle name="_сводная информация к защите 2006 г. (данные без индекса)_Лист3" xfId="953" xr:uid="{00000000-0005-0000-0000-0000B8030000}"/>
    <cellStyle name="_сводная информация к защите 2006 г. (данные без индекса)_ЛОТ № 01 (ЭБ куст №1) ред" xfId="954" xr:uid="{00000000-0005-0000-0000-0000B9030000}"/>
    <cellStyle name="_сводная информация к защите 2006 г. (данные без индекса)_ЛОТ № 01 (ЭБ куст №1) ред_Анализ_СС тендер 09 свод" xfId="955" xr:uid="{00000000-0005-0000-0000-0000BA030000}"/>
    <cellStyle name="_сводная информация к защите 2006 г. (данные без индекса)_ЛОТ № 01 (ЭБ куст №1) ред_Анализ_СС тендер 09 свод_копия для доработки_090908" xfId="956" xr:uid="{00000000-0005-0000-0000-0000BB030000}"/>
    <cellStyle name="_сводная информация к защите 2006 г. (данные без индекса)_Разделы 14, 8(1).2, 9  БП РН-Бурение 2008-2012 (ВАНКОР)" xfId="957" xr:uid="{00000000-0005-0000-0000-0000BC030000}"/>
    <cellStyle name="_сводная информация к защите 2006 г. (данные без индекса)_расчет СС_ВСНК_с БКФ" xfId="958" xr:uid="{00000000-0005-0000-0000-0000BD030000}"/>
    <cellStyle name="_сводная информация к защите 2006 г. (данные без индекса)_Расчет стоимости скв" xfId="959" xr:uid="{00000000-0005-0000-0000-0000BE030000}"/>
    <cellStyle name="_сводная информация к защите 2006 г. (данные без индекса)_Расчет стоимости скв 17 Ванкор" xfId="960" xr:uid="{00000000-0005-0000-0000-0000BF030000}"/>
    <cellStyle name="_сводная информация к защите 2006 г. (данные без индекса)_Расчет стоимости скв 17 Ванкор_Анализ_СС тендер 09 свод" xfId="961" xr:uid="{00000000-0005-0000-0000-0000C0030000}"/>
    <cellStyle name="_сводная информация к защите 2006 г. (данные без индекса)_Расчет стоимости скв 17 Ванкор_Анализ_СС тендер 09 свод_копия для доработки_090908" xfId="962" xr:uid="{00000000-0005-0000-0000-0000C1030000}"/>
    <cellStyle name="_сводная информация к защите 2006 г. (данные без индекса)_Расчет стоимости скв_авиация" xfId="963" xr:uid="{00000000-0005-0000-0000-0000C2030000}"/>
    <cellStyle name="_сводная информация к защите 2006 г. (данные без индекса)_Расчет стоимости скв_Выручка ЭБ ВСНК 09 ред.241108" xfId="964" xr:uid="{00000000-0005-0000-0000-0000C3030000}"/>
    <cellStyle name="_сводная информация к защите 2006 г. (данные без индекса)_Расчет стоимости скв_Выручка ЭБ ВСНК 09 ред.241108_для ВСНК" xfId="965" xr:uid="{00000000-0005-0000-0000-0000C4030000}"/>
    <cellStyle name="_сводная информация к защите 2006 г. (данные без индекса)_Расчет стоимости скв_Копия стоимость Юр-81 ред 160309 печать" xfId="966" xr:uid="{00000000-0005-0000-0000-0000C5030000}"/>
    <cellStyle name="_сводная информация к защите 2006 г. (данные без индекса)_Расчет стоимости скв_расчет БПО 141008" xfId="967" xr:uid="{00000000-0005-0000-0000-0000C6030000}"/>
    <cellStyle name="_сводная информация к защите 2006 г. (данные без индекса)_Расчет стоимости скв_расчет СС_ВСНК_ЭБ_09 ред 111108" xfId="968" xr:uid="{00000000-0005-0000-0000-0000C7030000}"/>
    <cellStyle name="_сводная информация к защите 2006 г. (данные без индекса)_Расчет стоимости скв_расчет СС_ВСНК_ЭБ_09 ред 161008" xfId="969" xr:uid="{00000000-0005-0000-0000-0000C8030000}"/>
    <cellStyle name="_сводная информация к защите 2006 г. (данные без индекса)_Расчет стоимости скв_расчет СС_ВСНК_ЭБ_09 ред 201008" xfId="970" xr:uid="{00000000-0005-0000-0000-0000C9030000}"/>
    <cellStyle name="_сводная информация к защите 2006 г. (данные без индекса)_Расчет стоимости скв_Расчет стоимости Петим-3 ред 250309" xfId="971" xr:uid="{00000000-0005-0000-0000-0000CA030000}"/>
    <cellStyle name="_сводная информация к защите 2006 г. (данные без индекса)_Расчет стоимости скв_стоимость Юр-81 ред 130309 от Дьяченко" xfId="972" xr:uid="{00000000-0005-0000-0000-0000CB030000}"/>
    <cellStyle name="_сводная информация к защите 2006 г. (данные без индекса)_Расчет стоимости скв_стоимость Юр-81 ред 131208 для ВСНК нов сервис" xfId="973" xr:uid="{00000000-0005-0000-0000-0000CC030000}"/>
    <cellStyle name="_сводная информация к защите 2006 г. (данные без индекса)_Расчет стоимости скв_стоимость Юр-81 ред 140209 в договор" xfId="974" xr:uid="{00000000-0005-0000-0000-0000CD030000}"/>
    <cellStyle name="_сводная информация к защите 2006 г. (данные без индекса)_Расчет стоимости скв_стоимость Юр-81 ред 160309" xfId="975" xr:uid="{00000000-0005-0000-0000-0000CE030000}"/>
    <cellStyle name="_сводная информация к защите 2006 г. (данные без индекса)_Расчет стоимости скв_стоимость Юр-81 ред 180209" xfId="976" xr:uid="{00000000-0005-0000-0000-0000CF030000}"/>
    <cellStyle name="_сводная информация к защите 2006 г. (данные без индекса)_Расчет стоимости скв_стоимость Юр-81 ред 190109" xfId="977" xr:uid="{00000000-0005-0000-0000-0000D0030000}"/>
    <cellStyle name="_сводная информация к защите 2006 г. (данные без индекса)_Расчет стоимости скв_стоимость Юр-81 ред 200309 на 100 сут.уточн_1" xfId="978" xr:uid="{00000000-0005-0000-0000-0000D1030000}"/>
    <cellStyle name="_сводная информация к защите 2006 г. (данные без индекса)_Расчет стоимости скв_стоимость Юр-81 ред 210109 в договор" xfId="979" xr:uid="{00000000-0005-0000-0000-0000D2030000}"/>
    <cellStyle name="_сводная информация к защите 2006 г. (данные без индекса)_Расчет стоимости скв_стоимость Юр-81 ред 241108" xfId="980" xr:uid="{00000000-0005-0000-0000-0000D3030000}"/>
    <cellStyle name="_сводная информация к защите 2006 г. (данные без индекса)_Расчет стоимости скв_стоимость Юр-81 ред 241108 без БПО" xfId="981" xr:uid="{00000000-0005-0000-0000-0000D4030000}"/>
    <cellStyle name="_сводная информация к защите 2006 г. (данные без индекса)_Расчет стоимости скв_стоимость Юр-81 ред 241108_в ВСНК" xfId="982" xr:uid="{00000000-0005-0000-0000-0000D5030000}"/>
    <cellStyle name="_сводная информация к защите 2006 г. (данные без индекса)_Расчет стоимости скв_Юр-81 исп со станка" xfId="983" xr:uid="{00000000-0005-0000-0000-0000D6030000}"/>
    <cellStyle name="_сводная информация к защите 2008 г. (данные без индекса)" xfId="984" xr:uid="{00000000-0005-0000-0000-0000D7030000}"/>
    <cellStyle name="_сводная информация к защите 2008 г. (данные без индекса) 2" xfId="985" xr:uid="{00000000-0005-0000-0000-0000D8030000}"/>
    <cellStyle name="_сводная информация к защите 2008 г. (данные без индекса)_инф. КВ по утв ПКВ" xfId="986" xr:uid="{00000000-0005-0000-0000-0000D9030000}"/>
    <cellStyle name="_сводная информация к защите 2008 г. (данные без индекса)_инф. КВ по утв ПКВ 2" xfId="987" xr:uid="{00000000-0005-0000-0000-0000DA030000}"/>
    <cellStyle name="_сводная информация к защите 2008 г. (данные без индекса)_Копия выручки 2" xfId="988" xr:uid="{00000000-0005-0000-0000-0000DB030000}"/>
    <cellStyle name="_сводная информация к защите 2008 г. (данные без индекса)_Лист3" xfId="989" xr:uid="{00000000-0005-0000-0000-0000DC030000}"/>
    <cellStyle name="_сводная информация к защите 2008 г. (данные без индекса)_ЛОТ № 01 (ЭБ куст №1) ред" xfId="990" xr:uid="{00000000-0005-0000-0000-0000DD030000}"/>
    <cellStyle name="_сводная информация к защите 2008 г. (данные без индекса)_ЛОТ № 01 (ЭБ куст №1) ред_Анализ_СС тендер 09 свод" xfId="991" xr:uid="{00000000-0005-0000-0000-0000DE030000}"/>
    <cellStyle name="_сводная информация к защите 2008 г. (данные без индекса)_ЛОТ № 01 (ЭБ куст №1) ред_Анализ_СС тендер 09 свод_копия для доработки_090908" xfId="992" xr:uid="{00000000-0005-0000-0000-0000DF030000}"/>
    <cellStyle name="_сводная информация к защите 2008 г. (данные без индекса)_Разделы 14, 8(1).2, 9  БП РН-Бурение 2008-2012 (ВАНКОР)" xfId="993" xr:uid="{00000000-0005-0000-0000-0000E0030000}"/>
    <cellStyle name="_сводная информация к защите 2008 г. (данные без индекса)_расчет СС_ВСНК_с БКФ" xfId="994" xr:uid="{00000000-0005-0000-0000-0000E1030000}"/>
    <cellStyle name="_сводная информация к защите 2008 г. (данные без индекса)_Расчет стоимости скв" xfId="995" xr:uid="{00000000-0005-0000-0000-0000E2030000}"/>
    <cellStyle name="_сводная информация к защите 2008 г. (данные без индекса)_Расчет стоимости скв 17 Ванкор" xfId="996" xr:uid="{00000000-0005-0000-0000-0000E3030000}"/>
    <cellStyle name="_сводная информация к защите 2008 г. (данные без индекса)_Расчет стоимости скв 17 Ванкор_Анализ_СС тендер 09 свод" xfId="997" xr:uid="{00000000-0005-0000-0000-0000E4030000}"/>
    <cellStyle name="_сводная информация к защите 2008 г. (данные без индекса)_Расчет стоимости скв 17 Ванкор_Анализ_СС тендер 09 свод_копия для доработки_090908" xfId="998" xr:uid="{00000000-0005-0000-0000-0000E5030000}"/>
    <cellStyle name="_сводная информация к защите 2008 г. (данные без индекса)_Расчет стоимости скв_авиация" xfId="999" xr:uid="{00000000-0005-0000-0000-0000E6030000}"/>
    <cellStyle name="_сводная информация к защите 2008 г. (данные без индекса)_Расчет стоимости скв_Выручка ЭБ ВСНК 09 ред.241108" xfId="1000" xr:uid="{00000000-0005-0000-0000-0000E7030000}"/>
    <cellStyle name="_сводная информация к защите 2008 г. (данные без индекса)_Расчет стоимости скв_Выручка ЭБ ВСНК 09 ред.241108_для ВСНК" xfId="1001" xr:uid="{00000000-0005-0000-0000-0000E8030000}"/>
    <cellStyle name="_сводная информация к защите 2008 г. (данные без индекса)_Расчет стоимости скв_Копия стоимость Юр-81 ред 160309 печать" xfId="1002" xr:uid="{00000000-0005-0000-0000-0000E9030000}"/>
    <cellStyle name="_сводная информация к защите 2008 г. (данные без индекса)_Расчет стоимости скв_расчет БПО 141008" xfId="1003" xr:uid="{00000000-0005-0000-0000-0000EA030000}"/>
    <cellStyle name="_сводная информация к защите 2008 г. (данные без индекса)_Расчет стоимости скв_расчет СС_ВСНК_ЭБ_09 ред 111108" xfId="1004" xr:uid="{00000000-0005-0000-0000-0000EB030000}"/>
    <cellStyle name="_сводная информация к защите 2008 г. (данные без индекса)_Расчет стоимости скв_расчет СС_ВСНК_ЭБ_09 ред 161008" xfId="1005" xr:uid="{00000000-0005-0000-0000-0000EC030000}"/>
    <cellStyle name="_сводная информация к защите 2008 г. (данные без индекса)_Расчет стоимости скв_расчет СС_ВСНК_ЭБ_09 ред 201008" xfId="1006" xr:uid="{00000000-0005-0000-0000-0000ED030000}"/>
    <cellStyle name="_сводная информация к защите 2008 г. (данные без индекса)_Расчет стоимости скв_Расчет стоимости Петим-3 ред 250309" xfId="1007" xr:uid="{00000000-0005-0000-0000-0000EE030000}"/>
    <cellStyle name="_сводная информация к защите 2008 г. (данные без индекса)_Расчет стоимости скв_стоимость Юр-81 ред 130309 от Дьяченко" xfId="1008" xr:uid="{00000000-0005-0000-0000-0000EF030000}"/>
    <cellStyle name="_сводная информация к защите 2008 г. (данные без индекса)_Расчет стоимости скв_стоимость Юр-81 ред 131208 для ВСНК нов сервис" xfId="1009" xr:uid="{00000000-0005-0000-0000-0000F0030000}"/>
    <cellStyle name="_сводная информация к защите 2008 г. (данные без индекса)_Расчет стоимости скв_стоимость Юр-81 ред 140209 в договор" xfId="1010" xr:uid="{00000000-0005-0000-0000-0000F1030000}"/>
    <cellStyle name="_сводная информация к защите 2008 г. (данные без индекса)_Расчет стоимости скв_стоимость Юр-81 ред 160309" xfId="1011" xr:uid="{00000000-0005-0000-0000-0000F2030000}"/>
    <cellStyle name="_сводная информация к защите 2008 г. (данные без индекса)_Расчет стоимости скв_стоимость Юр-81 ред 180209" xfId="1012" xr:uid="{00000000-0005-0000-0000-0000F3030000}"/>
    <cellStyle name="_сводная информация к защите 2008 г. (данные без индекса)_Расчет стоимости скв_стоимость Юр-81 ред 190109" xfId="1013" xr:uid="{00000000-0005-0000-0000-0000F4030000}"/>
    <cellStyle name="_сводная информация к защите 2008 г. (данные без индекса)_Расчет стоимости скв_стоимость Юр-81 ред 200309 на 100 сут.уточн_1" xfId="1014" xr:uid="{00000000-0005-0000-0000-0000F5030000}"/>
    <cellStyle name="_сводная информация к защите 2008 г. (данные без индекса)_Расчет стоимости скв_стоимость Юр-81 ред 210109 в договор" xfId="1015" xr:uid="{00000000-0005-0000-0000-0000F6030000}"/>
    <cellStyle name="_сводная информация к защите 2008 г. (данные без индекса)_Расчет стоимости скв_стоимость Юр-81 ред 241108" xfId="1016" xr:uid="{00000000-0005-0000-0000-0000F7030000}"/>
    <cellStyle name="_сводная информация к защите 2008 г. (данные без индекса)_Расчет стоимости скв_стоимость Юр-81 ред 241108 без БПО" xfId="1017" xr:uid="{00000000-0005-0000-0000-0000F8030000}"/>
    <cellStyle name="_сводная информация к защите 2008 г. (данные без индекса)_Расчет стоимости скв_стоимость Юр-81 ред 241108_в ВСНК" xfId="1018" xr:uid="{00000000-0005-0000-0000-0000F9030000}"/>
    <cellStyle name="_сводная информация к защите 2008 г. (данные без индекса)_Расчет стоимости скв_Юр-81 исп со станка" xfId="1019" xr:uid="{00000000-0005-0000-0000-0000FA030000}"/>
    <cellStyle name="_сводная смета" xfId="1020" xr:uid="{00000000-0005-0000-0000-0000FB030000}"/>
    <cellStyle name="_Сводная смета + КП 4" xfId="1021" xr:uid="{00000000-0005-0000-0000-0000FC030000}"/>
    <cellStyle name="_Сводная смета + КП 4_02.02 Согласовано Смета АЗС склад  (0002-И-ЦУП ВСТО)" xfId="1022" xr:uid="{00000000-0005-0000-0000-0000FD030000}"/>
    <cellStyle name="_Сводная смета + КП 4_08.02. ГТП Инж. защ." xfId="1023" xr:uid="{00000000-0005-0000-0000-0000FE030000}"/>
    <cellStyle name="_Сводная смета + КП 4_11004 ОПС Кимельтей 14.08.09г." xfId="1024" xr:uid="{00000000-0005-0000-0000-0000FF030000}"/>
    <cellStyle name="_Сводная смета + КП 4_11004 ОПС Кимельтей 14.08.09г. 2" xfId="1025" xr:uid="{00000000-0005-0000-0000-000000040000}"/>
    <cellStyle name="_Сводная смета + КП 4_24 02  УЦК Смета АЗС склад  (0002-И-ЦУП ВСТО)" xfId="1026" xr:uid="{00000000-0005-0000-0000-000001040000}"/>
    <cellStyle name="_Сводная смета + КП 4_28 01  ГТП Смета АЗС склад  (0002-И-ЦУП ВСТО)" xfId="1027" xr:uid="{00000000-0005-0000-0000-000002040000}"/>
    <cellStyle name="_Сводная смета + КП 4_Копия замечания Я-М 283-314 " xfId="1028" xr:uid="{00000000-0005-0000-0000-000003040000}"/>
    <cellStyle name="_Сводная смета + КП 4_ПИР АСТУЭ АИИСКУЭ 02_03_10" xfId="1029" xr:uid="{00000000-0005-0000-0000-000004040000}"/>
    <cellStyle name="_Сводная смета + КП 4_ПИР АСТУЭ АИИСКУЭ 02_03_10 2" xfId="1030" xr:uid="{00000000-0005-0000-0000-000005040000}"/>
    <cellStyle name="_Сводная смета + КП 4_ПИР ДОП работы -АИИСКУЭ НПС12_13" xfId="1031" xr:uid="{00000000-0005-0000-0000-000006040000}"/>
    <cellStyle name="_Сводная смета + КП 4_ПИР ДОП работы -АИИСКУЭ НПС12_13 2" xfId="1032" xr:uid="{00000000-0005-0000-0000-000007040000}"/>
    <cellStyle name="_Сводная смета + КП 4_форма 2 - изм4+" xfId="1033" xr:uid="{00000000-0005-0000-0000-000008040000}"/>
    <cellStyle name="_сводная смета_РБС ф-1" xfId="1034" xr:uid="{00000000-0005-0000-0000-000009040000}"/>
    <cellStyle name="_сводная смета_форма 2 - АЗС и склады" xfId="1035" xr:uid="{00000000-0005-0000-0000-00000A040000}"/>
    <cellStyle name="_сводная смета_форма 2 - изм4+" xfId="1036" xr:uid="{00000000-0005-0000-0000-00000B040000}"/>
    <cellStyle name="_Сводная ст-ть к лотам куст 2" xfId="1037" xr:uid="{00000000-0005-0000-0000-00000C040000}"/>
    <cellStyle name="_Сводная ст-ть к лотам куст 2_Разделы 14, 8(1).2, 9  БП РН-Бурение 2008-2012 (ВАНКОР)" xfId="1038" xr:uid="{00000000-0005-0000-0000-00000D040000}"/>
    <cellStyle name="_Сводная ст-ть к лотам куст 3" xfId="1039" xr:uid="{00000000-0005-0000-0000-00000E040000}"/>
    <cellStyle name="_Сводная ст-ть к лотам куст 3_Копия выручки 2" xfId="1040" xr:uid="{00000000-0005-0000-0000-00000F040000}"/>
    <cellStyle name="_Сводная ст-ть к лотам куст 3_ЛОТ № 01 (ЭБ куст №1) ред" xfId="1041" xr:uid="{00000000-0005-0000-0000-000010040000}"/>
    <cellStyle name="_Сводная ст-ть к лотам куст 3_ЛОТ № 01 (ЭБ куст №1) ред_Анализ_СС тендер 09 свод" xfId="1042" xr:uid="{00000000-0005-0000-0000-000011040000}"/>
    <cellStyle name="_Сводная ст-ть к лотам куст 3_ЛОТ № 01 (ЭБ куст №1) ред_Анализ_СС тендер 09 свод_копия для доработки_090908" xfId="1043" xr:uid="{00000000-0005-0000-0000-000012040000}"/>
    <cellStyle name="_Сводная ст-ть к лотам куст 3_Разделы 14, 8(1).2, 9  БП РН-Бурение 2008-2012 (ВАНКОР)" xfId="1044" xr:uid="{00000000-0005-0000-0000-000013040000}"/>
    <cellStyle name="_Сводная ст-ть к лотам куст 3_расчет СС_ВСНК_с БКФ" xfId="1045" xr:uid="{00000000-0005-0000-0000-000014040000}"/>
    <cellStyle name="_Сводная ст-ть к лотам куст 3_Расчет стоимости скв" xfId="1046" xr:uid="{00000000-0005-0000-0000-000015040000}"/>
    <cellStyle name="_Сводная ст-ть к лотам куст 3_Расчет стоимости скв 17 Ванкор" xfId="1047" xr:uid="{00000000-0005-0000-0000-000016040000}"/>
    <cellStyle name="_Сводная ст-ть к лотам куст 3_Расчет стоимости скв 17 Ванкор_Анализ_СС тендер 09 свод" xfId="1048" xr:uid="{00000000-0005-0000-0000-000017040000}"/>
    <cellStyle name="_Сводная ст-ть к лотам куст 3_Расчет стоимости скв 17 Ванкор_Анализ_СС тендер 09 свод_копия для доработки_090908" xfId="1049" xr:uid="{00000000-0005-0000-0000-000018040000}"/>
    <cellStyle name="_Сводная ст-ть к лотам куст 3_Расчет стоимости скв_авиация" xfId="1050" xr:uid="{00000000-0005-0000-0000-000019040000}"/>
    <cellStyle name="_Сводная ст-ть к лотам куст 3_Расчет стоимости скв_Выручка ЭБ ВСНК 09 ред.241108" xfId="1051" xr:uid="{00000000-0005-0000-0000-00001A040000}"/>
    <cellStyle name="_Сводная ст-ть к лотам куст 3_Расчет стоимости скв_Выручка ЭБ ВСНК 09 ред.241108_для ВСНК" xfId="1052" xr:uid="{00000000-0005-0000-0000-00001B040000}"/>
    <cellStyle name="_Сводная ст-ть к лотам куст 3_Расчет стоимости скв_Копия стоимость Юр-81 ред 160309 печать" xfId="1053" xr:uid="{00000000-0005-0000-0000-00001C040000}"/>
    <cellStyle name="_Сводная ст-ть к лотам куст 3_Расчет стоимости скв_расчет БПО 141008" xfId="1054" xr:uid="{00000000-0005-0000-0000-00001D040000}"/>
    <cellStyle name="_Сводная ст-ть к лотам куст 3_Расчет стоимости скв_расчет СС_ВСНК_ЭБ_09 ред 111108" xfId="1055" xr:uid="{00000000-0005-0000-0000-00001E040000}"/>
    <cellStyle name="_Сводная ст-ть к лотам куст 3_Расчет стоимости скв_расчет СС_ВСНК_ЭБ_09 ред 161008" xfId="1056" xr:uid="{00000000-0005-0000-0000-00001F040000}"/>
    <cellStyle name="_Сводная ст-ть к лотам куст 3_Расчет стоимости скв_расчет СС_ВСНК_ЭБ_09 ред 201008" xfId="1057" xr:uid="{00000000-0005-0000-0000-000020040000}"/>
    <cellStyle name="_Сводная ст-ть к лотам куст 3_Расчет стоимости скв_Расчет стоимости Петим-3 ред 250309" xfId="1058" xr:uid="{00000000-0005-0000-0000-000021040000}"/>
    <cellStyle name="_Сводная ст-ть к лотам куст 3_Расчет стоимости скв_стоимость Юр-81 ред 130309 от Дьяченко" xfId="1059" xr:uid="{00000000-0005-0000-0000-000022040000}"/>
    <cellStyle name="_Сводная ст-ть к лотам куст 3_Расчет стоимости скв_стоимость Юр-81 ред 131208 для ВСНК нов сервис" xfId="1060" xr:uid="{00000000-0005-0000-0000-000023040000}"/>
    <cellStyle name="_Сводная ст-ть к лотам куст 3_Расчет стоимости скв_стоимость Юр-81 ред 140209 в договор" xfId="1061" xr:uid="{00000000-0005-0000-0000-000024040000}"/>
    <cellStyle name="_Сводная ст-ть к лотам куст 3_Расчет стоимости скв_стоимость Юр-81 ред 160309" xfId="1062" xr:uid="{00000000-0005-0000-0000-000025040000}"/>
    <cellStyle name="_Сводная ст-ть к лотам куст 3_Расчет стоимости скв_стоимость Юр-81 ред 180209" xfId="1063" xr:uid="{00000000-0005-0000-0000-000026040000}"/>
    <cellStyle name="_Сводная ст-ть к лотам куст 3_Расчет стоимости скв_стоимость Юр-81 ред 190109" xfId="1064" xr:uid="{00000000-0005-0000-0000-000027040000}"/>
    <cellStyle name="_Сводная ст-ть к лотам куст 3_Расчет стоимости скв_стоимость Юр-81 ред 200309 на 100 сут.уточн_1" xfId="1065" xr:uid="{00000000-0005-0000-0000-000028040000}"/>
    <cellStyle name="_Сводная ст-ть к лотам куст 3_Расчет стоимости скв_стоимость Юр-81 ред 210109 в договор" xfId="1066" xr:uid="{00000000-0005-0000-0000-000029040000}"/>
    <cellStyle name="_Сводная ст-ть к лотам куст 3_Расчет стоимости скв_стоимость Юр-81 ред 241108" xfId="1067" xr:uid="{00000000-0005-0000-0000-00002A040000}"/>
    <cellStyle name="_Сводная ст-ть к лотам куст 3_Расчет стоимости скв_стоимость Юр-81 ред 241108 без БПО" xfId="1068" xr:uid="{00000000-0005-0000-0000-00002B040000}"/>
    <cellStyle name="_Сводная ст-ть к лотам куст 3_Расчет стоимости скв_стоимость Юр-81 ред 241108_в ВСНК" xfId="1069" xr:uid="{00000000-0005-0000-0000-00002C040000}"/>
    <cellStyle name="_Сводная ст-ть к лотам куст 3_Расчет стоимости скв_Юр-81 исп со станка" xfId="1070" xr:uid="{00000000-0005-0000-0000-00002D040000}"/>
    <cellStyle name="_Сводная ст-ть к лотам куст 5 с СВП(с сервисом)" xfId="1071" xr:uid="{00000000-0005-0000-0000-00002E040000}"/>
    <cellStyle name="_Сводные сметы" xfId="1072" xr:uid="{00000000-0005-0000-0000-00002F040000}"/>
    <cellStyle name="_Сводные сметы_РБС ф-1" xfId="1073" xr:uid="{00000000-0005-0000-0000-000030040000}"/>
    <cellStyle name="_Сводные сметы_форма 2 - АЗС и склады" xfId="1074" xr:uid="{00000000-0005-0000-0000-000031040000}"/>
    <cellStyle name="_Сводные сметы_форма 2 - изм4+" xfId="1075" xr:uid="{00000000-0005-0000-0000-000032040000}"/>
    <cellStyle name="_СВЯЗЬ" xfId="1076" xr:uid="{00000000-0005-0000-0000-000033040000}"/>
    <cellStyle name="_Сервера" xfId="1077" xr:uid="{00000000-0005-0000-0000-000034040000}"/>
    <cellStyle name="_Сервера_РБС ф-1" xfId="1078" xr:uid="{00000000-0005-0000-0000-000035040000}"/>
    <cellStyle name="_Сервера_форма 2 - АЗС и склады" xfId="1079" xr:uid="{00000000-0005-0000-0000-000036040000}"/>
    <cellStyle name="_Сервера_форма 2 - изм4+" xfId="1080" xr:uid="{00000000-0005-0000-0000-000037040000}"/>
    <cellStyle name="_Система управления" xfId="1081" xr:uid="{00000000-0005-0000-0000-000038040000}"/>
    <cellStyle name="_Система управления_РБС ф-1" xfId="1082" xr:uid="{00000000-0005-0000-0000-000039040000}"/>
    <cellStyle name="_Система управления_форма 2 - АЗС и склады" xfId="1083" xr:uid="{00000000-0005-0000-0000-00003A040000}"/>
    <cellStyle name="_Система управления_форма 2 - изм4+" xfId="1084" xr:uid="{00000000-0005-0000-0000-00003B040000}"/>
    <cellStyle name="_скв. 91,92 Вост-Таркос к БП 2008" xfId="1085" xr:uid="{00000000-0005-0000-0000-00003C040000}"/>
    <cellStyle name="_См на демонтаж 30.03.10" xfId="1086" xr:uid="{00000000-0005-0000-0000-00003D040000}"/>
    <cellStyle name="_Смета" xfId="1087" xr:uid="{00000000-0005-0000-0000-00003E040000}"/>
    <cellStyle name="_Смета (последняя)" xfId="1088" xr:uid="{00000000-0005-0000-0000-00003F040000}"/>
    <cellStyle name="_смета 1 (2)" xfId="1089" xr:uid="{00000000-0005-0000-0000-000040040000}"/>
    <cellStyle name="_смета 1 (2)_РБС ф-1" xfId="1090" xr:uid="{00000000-0005-0000-0000-000041040000}"/>
    <cellStyle name="_смета 1 (2)_форма 2 - АЗС и склады" xfId="1091" xr:uid="{00000000-0005-0000-0000-000042040000}"/>
    <cellStyle name="_смета 1 (2)_форма 2 - изм4+" xfId="1092" xr:uid="{00000000-0005-0000-0000-000043040000}"/>
    <cellStyle name="_Смета 1.3 Связь,сигнализация" xfId="1093" xr:uid="{00000000-0005-0000-0000-000044040000}"/>
    <cellStyle name="_Смета 1461К-ТЦН-05" xfId="1094" xr:uid="{00000000-0005-0000-0000-000045040000}"/>
    <cellStyle name="_Смета 2008 Ванкорнефть  для ДБСТиС от 06.11.07 э.б." xfId="1095" xr:uid="{00000000-0005-0000-0000-000046040000}"/>
    <cellStyle name="_Смета 25 сч, 26сч  2007г." xfId="1096" xr:uid="{00000000-0005-0000-0000-000047040000}"/>
    <cellStyle name="_Смета 3  доп Рекультивация  НПС-38, 40" xfId="1097" xr:uid="{00000000-0005-0000-0000-000048040000}"/>
    <cellStyle name="_Смета вспом произв 2007г." xfId="1098" xr:uid="{00000000-0005-0000-0000-000049040000}"/>
    <cellStyle name="_Смета к ДС" xfId="1099" xr:uid="{00000000-0005-0000-0000-00004A040000}"/>
    <cellStyle name="_Смета к ДС  МН Р-М 97-116" xfId="1100" xr:uid="{00000000-0005-0000-0000-00004B040000}"/>
    <cellStyle name="_Смета к ДС  МН Р-М 97-116_РБС ф-1" xfId="1101" xr:uid="{00000000-0005-0000-0000-00004C040000}"/>
    <cellStyle name="_Смета Казахстан(Западный ТП)" xfId="1102" xr:uid="{00000000-0005-0000-0000-00004D040000}"/>
    <cellStyle name="_Смета Казахстан(Западный ТП)_02.02 Согласовано Смета АЗС склад  (0002-И-ЦУП ВСТО)" xfId="1103" xr:uid="{00000000-0005-0000-0000-00004E040000}"/>
    <cellStyle name="_Смета Казахстан(Западный ТП)_08.02. ГТП Инж. защ." xfId="1104" xr:uid="{00000000-0005-0000-0000-00004F040000}"/>
    <cellStyle name="_Смета Казахстан(Западный ТП)_11004 ОПС Кимельтей 14.08.09г." xfId="1105" xr:uid="{00000000-0005-0000-0000-000050040000}"/>
    <cellStyle name="_Смета Казахстан(Западный ТП)_11004 ОПС Кимельтей 14.08.09г. 2" xfId="1106" xr:uid="{00000000-0005-0000-0000-000051040000}"/>
    <cellStyle name="_Смета Казахстан(Западный ТП)_24 02  УЦК Смета АЗС склад  (0002-И-ЦУП ВСТО)" xfId="1107" xr:uid="{00000000-0005-0000-0000-000052040000}"/>
    <cellStyle name="_Смета Казахстан(Западный ТП)_28 01  ГТП Смета АЗС склад  (0002-И-ЦУП ВСТО)" xfId="1108" xr:uid="{00000000-0005-0000-0000-000053040000}"/>
    <cellStyle name="_Смета Казахстан(Западный ТП)_Копия замечания Я-М 283-314 " xfId="1109" xr:uid="{00000000-0005-0000-0000-000054040000}"/>
    <cellStyle name="_Смета Казахстан(Западный ТП)_ПИР АСТУЭ АИИСКУЭ 02_03_10" xfId="1110" xr:uid="{00000000-0005-0000-0000-000055040000}"/>
    <cellStyle name="_Смета Казахстан(Западный ТП)_ПИР АСТУЭ АИИСКУЭ 02_03_10 2" xfId="1111" xr:uid="{00000000-0005-0000-0000-000056040000}"/>
    <cellStyle name="_Смета Казахстан(Западный ТП)_ПИР ДОП работы -АИИСКУЭ НПС12_13" xfId="1112" xr:uid="{00000000-0005-0000-0000-000057040000}"/>
    <cellStyle name="_Смета Казахстан(Западный ТП)_ПИР ДОП работы -АИИСКУЭ НПС12_13 2" xfId="1113" xr:uid="{00000000-0005-0000-0000-000058040000}"/>
    <cellStyle name="_Смета Казахстан(Западный ТП)_форма 2 - изм4+" xfId="1114" xr:uid="{00000000-0005-0000-0000-000059040000}"/>
    <cellStyle name="_смета Козьмино" xfId="1115" xr:uid="{00000000-0005-0000-0000-00005A040000}"/>
    <cellStyle name="_Смета на пуско-наладку" xfId="1116" xr:uid="{00000000-0005-0000-0000-00005B040000}"/>
    <cellStyle name="_Смета НПС (2)" xfId="1117" xr:uid="{00000000-0005-0000-0000-00005C040000}"/>
    <cellStyle name="_СМЕТА ПИБ ПНР-ВОЛГОГР-06.12.04" xfId="1118" xr:uid="{00000000-0005-0000-0000-00005D040000}"/>
    <cellStyle name="_Смета ПИР ТЗ 545 технол. 2 шт." xfId="1119" xr:uid="{00000000-0005-0000-0000-00005E040000}"/>
    <cellStyle name="_Смета по Абино-Укр. от 06.11.07 для ДБСТиС на 2008 РН-КНГ" xfId="1120" xr:uid="{00000000-0005-0000-0000-00005F040000}"/>
    <cellStyle name="_Смета по шаблону Гороховка" xfId="1121" xr:uid="{00000000-0005-0000-0000-000060040000}"/>
    <cellStyle name="_Смета по шаблону Гороховка_форма 2 - изм4+" xfId="1122" xr:uid="{00000000-0005-0000-0000-000061040000}"/>
    <cellStyle name="_смета полная на ППМН" xfId="1123" xr:uid="{00000000-0005-0000-0000-000062040000}"/>
    <cellStyle name="_смета р. Ик, Стройновация-ГТП" xfId="1124" xr:uid="{00000000-0005-0000-0000-000063040000}"/>
    <cellStyle name="_Смета СОУ" xfId="1125" xr:uid="{00000000-0005-0000-0000-000064040000}"/>
    <cellStyle name="_Смета ТМ 5 ПС" xfId="1126" xr:uid="{00000000-0005-0000-0000-000065040000}"/>
    <cellStyle name="_Смета ТМ А-М" xfId="1127" xr:uid="{00000000-0005-0000-0000-000066040000}"/>
    <cellStyle name="_Смета УК ООО РН-Бурение на 2007 год" xfId="1128" xr:uid="{00000000-0005-0000-0000-000067040000}"/>
    <cellStyle name="_Смета УК ООО РН-Бурение на 2007 год нов вариант 271106" xfId="1129" xr:uid="{00000000-0005-0000-0000-000068040000}"/>
    <cellStyle name="_Смета ЭБ  от 06.11.07 для ДБСТиС на 2008 ВН 4,6,8,7,17,без 20  ГП)" xfId="1130" xr:uid="{00000000-0005-0000-0000-000069040000}"/>
    <cellStyle name="_Смета_ Образец СВОДНАЯ" xfId="1131" xr:uid="{00000000-0005-0000-0000-00006A040000}"/>
    <cellStyle name="_Смета_ Образец СВОДНАЯ_РБС ф-1" xfId="1132" xr:uid="{00000000-0005-0000-0000-00006B040000}"/>
    <cellStyle name="_Смета_ Образец СВОДНАЯ_форма 2 - АЗС и склады" xfId="1133" xr:uid="{00000000-0005-0000-0000-00006C040000}"/>
    <cellStyle name="_Смета_ Образец СВОДНАЯ_форма 2 - изм4+" xfId="1134" xr:uid="{00000000-0005-0000-0000-00006D040000}"/>
    <cellStyle name="_Смета_РБС ф-1" xfId="1135" xr:uid="{00000000-0005-0000-0000-00006E040000}"/>
    <cellStyle name="_Смета_форма 2 - АЗС и склады" xfId="1136" xr:uid="{00000000-0005-0000-0000-00006F040000}"/>
    <cellStyle name="_Смета_форма 2 - изм4+" xfId="1137" xr:uid="{00000000-0005-0000-0000-000070040000}"/>
    <cellStyle name="_СметаПИР пункт налива гор.воды,Мишкино04.04.08т" xfId="1138" xr:uid="{00000000-0005-0000-0000-000071040000}"/>
    <cellStyle name="_СметаПИР пункт налива гор.воды,Мишкино04.04.08т_РБС ф-1" xfId="1139" xr:uid="{00000000-0005-0000-0000-000072040000}"/>
    <cellStyle name="_СметаПИР пункт налива гор.воды,Мишкино04.04.08т_форма 2 - АЗС и склады" xfId="1140" xr:uid="{00000000-0005-0000-0000-000073040000}"/>
    <cellStyle name="_СметаПИР пункт налива гор.воды,Мишкино04.04.08т_форма 2 - изм4+" xfId="1141" xr:uid="{00000000-0005-0000-0000-000074040000}"/>
    <cellStyle name="_Сметы 12 4 ОПС цеха ТТ и СТ (Красноярск)" xfId="1142" xr:uid="{00000000-0005-0000-0000-000075040000}"/>
    <cellStyle name="_Сметы 12 4 ОПС цеха ТТ и СТ (Красноярск)_форма 2 - изм4+" xfId="1143" xr:uid="{00000000-0005-0000-0000-000076040000}"/>
    <cellStyle name="_Сметы ВНИИСТ" xfId="1144" xr:uid="{00000000-0005-0000-0000-000077040000}"/>
    <cellStyle name="_Сметы ВНИИСТ_01.04.08 Смета на ИИР_ПИРС" xfId="1145" xr:uid="{00000000-0005-0000-0000-000078040000}"/>
    <cellStyle name="_Сметы ВНИИСТ_27.08.08 ИИ КППСОД 0-68-ТСМН" xfId="1146" xr:uid="{00000000-0005-0000-0000-000079040000}"/>
    <cellStyle name="_Сметы ВНИИСТ_27.08.08 ИИ КППСОД 0-68-ТСМН_РБС ф-1" xfId="1147" xr:uid="{00000000-0005-0000-0000-00007A040000}"/>
    <cellStyle name="_Сметы ВНИИСТ_27.08.08 ИИ КППСОД 0-68-ТСМН_форма 2 - АЗС и склады" xfId="1148" xr:uid="{00000000-0005-0000-0000-00007B040000}"/>
    <cellStyle name="_Сметы ВНИИСТ_27.08.08 ИИ КППСОД 0-68-ТСМН_форма 2 - изм4+" xfId="1149" xr:uid="{00000000-0005-0000-0000-00007C040000}"/>
    <cellStyle name="_СМН_ПИР БИК СМН-Чикшино_16 06 09 (3)" xfId="1150" xr:uid="{00000000-0005-0000-0000-00007D040000}"/>
    <cellStyle name="_СМН_ПИР БИК СМН-Чикшино_16 06 09 (3)_РБС ф-1" xfId="1151" xr:uid="{00000000-0005-0000-0000-00007E040000}"/>
    <cellStyle name="_СМН_ПИР БИК СМН-Чикшино_16 06 09 (3)_форма 2 - АЗС и склады" xfId="1152" xr:uid="{00000000-0005-0000-0000-00007F040000}"/>
    <cellStyle name="_СМН_ПИР БИК СМН-Чикшино_16 06 09 (3)_форма 2 - изм4+" xfId="1153" xr:uid="{00000000-0005-0000-0000-000080040000}"/>
    <cellStyle name="_СмПИР_Азнакаево_тз 007 изм_5_6 (моя)15 05" xfId="1154" xr:uid="{00000000-0005-0000-0000-000081040000}"/>
    <cellStyle name="_СМР-UPS+ПОЖАРКА+ТАРИФИКАЦИЯ-3" xfId="1155" xr:uid="{00000000-0005-0000-0000-000082040000}"/>
    <cellStyle name="_СМР-АТС-ЛВС" xfId="1156" xr:uid="{00000000-0005-0000-0000-000083040000}"/>
    <cellStyle name="_согласован 2 вар-т  МН Р-М 118-128" xfId="1157" xr:uid="{00000000-0005-0000-0000-000084040000}"/>
    <cellStyle name="_Согласованный  план ввода, фин. поставок - ОНСС 2006 от 23 01 06г (5)" xfId="1158" xr:uid="{00000000-0005-0000-0000-000085040000}"/>
    <cellStyle name="_Спецификации Роснефть" xfId="1159" xr:uid="{00000000-0005-0000-0000-000086040000}"/>
    <cellStyle name="_Спецификация" xfId="1160" xr:uid="{00000000-0005-0000-0000-000087040000}"/>
    <cellStyle name="_Спецификация_РБС ф-1" xfId="1161" xr:uid="{00000000-0005-0000-0000-000088040000}"/>
    <cellStyle name="_Спецификация_форма 2 - АЗС и склады" xfId="1162" xr:uid="{00000000-0005-0000-0000-000089040000}"/>
    <cellStyle name="_Спецификация_форма 2 - изм4+" xfId="1163" xr:uid="{00000000-0005-0000-0000-00008A040000}"/>
    <cellStyle name="_Стоймостные приложения №2  2 1-23_CСК" xfId="1164" xr:uid="{00000000-0005-0000-0000-00008B040000}"/>
    <cellStyle name="_Стратег  пл-е новое3" xfId="1165" xr:uid="{00000000-0005-0000-0000-00008C040000}"/>
    <cellStyle name="_Стратег. пл-е новое" xfId="1166" xr:uid="{00000000-0005-0000-0000-00008D040000}"/>
    <cellStyle name="_Стратегическое планирование - 2005г." xfId="1167" xr:uid="{00000000-0005-0000-0000-00008E040000}"/>
    <cellStyle name="_Строительство КППСОД МНТОН - 2_ВНИИСТ+" xfId="1168" xr:uid="{00000000-0005-0000-0000-00008F040000}"/>
    <cellStyle name="_Строительство КППСОД МНТОН - 2_ВНИИСТ+_РБС ф-1" xfId="1169" xr:uid="{00000000-0005-0000-0000-000090040000}"/>
    <cellStyle name="_Строительство КППСОД МНТОН - 2_ВНИИСТ+_форма 2 - АЗС и склады" xfId="1170" xr:uid="{00000000-0005-0000-0000-000091040000}"/>
    <cellStyle name="_Строительство КППСОД МНТОН - 2_ВНИИСТ+_форма 2 - изм4+" xfId="1171" xr:uid="{00000000-0005-0000-0000-000092040000}"/>
    <cellStyle name="_Структура по ИД (2)" xfId="1172" xr:uid="{00000000-0005-0000-0000-000093040000}"/>
    <cellStyle name="_Субпод_ 2по нов.РД-ГТП_МН А-А-Судженск РВСП-20000 №27" xfId="1173" xr:uid="{00000000-0005-0000-0000-000094040000}"/>
    <cellStyle name="_счет фактура,КС-2 (альб.кратк.),КС-3" xfId="1174" xr:uid="{00000000-0005-0000-0000-000095040000}"/>
    <cellStyle name="_Счет-фактура новый бланк (образец)" xfId="1175" xr:uid="{00000000-0005-0000-0000-000096040000}"/>
    <cellStyle name="_ТЕНД ВЛ 169-202км от Бартенева" xfId="1176" xr:uid="{00000000-0005-0000-0000-000097040000}"/>
    <cellStyle name="_ТЕНД ВЛ 169-202км от Бартенева_РБС ф-1" xfId="1177" xr:uid="{00000000-0005-0000-0000-000098040000}"/>
    <cellStyle name="_ТЕНД ВЛ 169-202км от Бартенева_форма 2 - АЗС и склады" xfId="1178" xr:uid="{00000000-0005-0000-0000-000099040000}"/>
    <cellStyle name="_ТЕНД ВЛ 169-202км от Бартенева_форма 2 - изм4+" xfId="1179" xr:uid="{00000000-0005-0000-0000-00009A040000}"/>
    <cellStyle name="_Тендер ЗБС 2008 скорр  03 12 07 ГФ final без пилота (без обсадки) (3)" xfId="1180" xr:uid="{00000000-0005-0000-0000-00009B040000}"/>
    <cellStyle name="_ТМ Быково Кириши" xfId="1181" xr:uid="{00000000-0005-0000-0000-00009C040000}"/>
    <cellStyle name="_ТМ Быково Кириши_02.02 Согласовано Смета АЗС склад  (0002-И-ЦУП ВСТО)" xfId="1182" xr:uid="{00000000-0005-0000-0000-00009D040000}"/>
    <cellStyle name="_ТМ Быково Кириши_08.02. ГТП Инж. защ." xfId="1183" xr:uid="{00000000-0005-0000-0000-00009E040000}"/>
    <cellStyle name="_ТМ Быково Кириши_11004 ОПС Кимельтей 14.08.09г." xfId="1184" xr:uid="{00000000-0005-0000-0000-00009F040000}"/>
    <cellStyle name="_ТМ Быково Кириши_11004 ОПС Кимельтей 14.08.09г. 2" xfId="1185" xr:uid="{00000000-0005-0000-0000-0000A0040000}"/>
    <cellStyle name="_ТМ Быково Кириши_24 02  УЦК Смета АЗС склад  (0002-И-ЦУП ВСТО)" xfId="1186" xr:uid="{00000000-0005-0000-0000-0000A1040000}"/>
    <cellStyle name="_ТМ Быково Кириши_28 01  ГТП Смета АЗС склад  (0002-И-ЦУП ВСТО)" xfId="1187" xr:uid="{00000000-0005-0000-0000-0000A2040000}"/>
    <cellStyle name="_ТМ Быково Кириши_Копия замечания Я-М 283-314 " xfId="1188" xr:uid="{00000000-0005-0000-0000-0000A3040000}"/>
    <cellStyle name="_ТМ Быково Кириши_ПИР АСТУЭ АИИСКУЭ 02_03_10" xfId="1189" xr:uid="{00000000-0005-0000-0000-0000A4040000}"/>
    <cellStyle name="_ТМ Быково Кириши_ПИР АСТУЭ АИИСКУЭ 02_03_10 2" xfId="1190" xr:uid="{00000000-0005-0000-0000-0000A5040000}"/>
    <cellStyle name="_ТМ Быково Кириши_ПИР ДОП работы -АИИСКУЭ НПС12_13" xfId="1191" xr:uid="{00000000-0005-0000-0000-0000A6040000}"/>
    <cellStyle name="_ТМ Быково Кириши_ПИР ДОП работы -АИИСКУЭ НПС12_13 2" xfId="1192" xr:uid="{00000000-0005-0000-0000-0000A7040000}"/>
    <cellStyle name="_ТМ Быково Кириши_форма 2 - изм4+" xfId="1193" xr:uid="{00000000-0005-0000-0000-0000A8040000}"/>
    <cellStyle name="_ТП 6  0,4 кВ  Первомайское нмр июль вар 2" xfId="1194" xr:uid="{00000000-0005-0000-0000-0000A9040000}"/>
    <cellStyle name="_ТП куст №5 Двуреченского нмр июль-2" xfId="1195" xr:uid="{00000000-0005-0000-0000-0000AA040000}"/>
    <cellStyle name="_ТЭП для филиалов (version 1)" xfId="1196" xr:uid="{00000000-0005-0000-0000-0000AB040000}"/>
    <cellStyle name="_ТЭП для филиалов (version 1)_Разделы 14, 8(1).2, 9  БП РН-Бурение 2008-2012 (ВАНКОР)" xfId="1197" xr:uid="{00000000-0005-0000-0000-0000AC040000}"/>
    <cellStyle name="_ТЭП РН-Б 2006" xfId="1198" xr:uid="{00000000-0005-0000-0000-0000AD040000}"/>
    <cellStyle name="_УПАТС ГУГОЧС 2003 (копия)" xfId="1199" xr:uid="{00000000-0005-0000-0000-0000AE040000}"/>
    <cellStyle name="_УПАТС ГУГОЧС 2003 (копия)_РБС ф-1" xfId="1200" xr:uid="{00000000-0005-0000-0000-0000AF040000}"/>
    <cellStyle name="_УПАТС ГУГОЧС 2003 (копия)_форма 2 - АЗС и склады" xfId="1201" xr:uid="{00000000-0005-0000-0000-0000B0040000}"/>
    <cellStyle name="_УПАТС ГУГОЧС 2003 (копия)_форма 2 - изм4+" xfId="1202" xr:uid="{00000000-0005-0000-0000-0000B1040000}"/>
    <cellStyle name="_УФ бурение 2005г от 20.04.04г (19-00)" xfId="1203" xr:uid="{00000000-0005-0000-0000-0000B2040000}"/>
    <cellStyle name="_УФ бурение 2005г от 21.04.04г (14-00)" xfId="1204" xr:uid="{00000000-0005-0000-0000-0000B3040000}"/>
    <cellStyle name="_УФ бурение 2005г от 21.04.04г (14-00) без индекса" xfId="1205" xr:uid="{00000000-0005-0000-0000-0000B4040000}"/>
    <cellStyle name="_УФ отпр. в фил.17.07.08" xfId="1206" xr:uid="{00000000-0005-0000-0000-0000B5040000}"/>
    <cellStyle name="_УФ по бурению 2007 (1000-336-х)" xfId="1207" xr:uid="{00000000-0005-0000-0000-0000B6040000}"/>
    <cellStyle name="_УФ по бурению 2007 (1000-336-х) 2" xfId="1208" xr:uid="{00000000-0005-0000-0000-0000B7040000}"/>
    <cellStyle name="_УФ по бурению 2007 (1000-336-х)_инф. КВ по утв ПКВ" xfId="1209" xr:uid="{00000000-0005-0000-0000-0000B8040000}"/>
    <cellStyle name="_УФ по бурению 2007 (1000-336-х)_инф. КВ по утв ПКВ 2" xfId="1210" xr:uid="{00000000-0005-0000-0000-0000B9040000}"/>
    <cellStyle name="_УФ по бурению 2007 (1000-336-х)_Копия выручки 2" xfId="1211" xr:uid="{00000000-0005-0000-0000-0000BA040000}"/>
    <cellStyle name="_УФ по бурению 2007 (1000-336-х)_Лист3" xfId="1212" xr:uid="{00000000-0005-0000-0000-0000BB040000}"/>
    <cellStyle name="_УФ по бурению 2007 (1000-336-х)_ЛОТ № 01 (ЭБ куст №1) ред" xfId="1213" xr:uid="{00000000-0005-0000-0000-0000BC040000}"/>
    <cellStyle name="_УФ по бурению 2007 (1000-336-х)_ЛОТ № 01 (ЭБ куст №1) ред_Анализ_СС тендер 09 свод" xfId="1214" xr:uid="{00000000-0005-0000-0000-0000BD040000}"/>
    <cellStyle name="_УФ по бурению 2007 (1000-336-х)_ЛОТ № 01 (ЭБ куст №1) ред_Анализ_СС тендер 09 свод_копия для доработки_090908" xfId="1215" xr:uid="{00000000-0005-0000-0000-0000BE040000}"/>
    <cellStyle name="_УФ по бурению 2007 (1000-336-х)_Разделы 14, 8(1).2, 9  БП РН-Бурение 2008-2012 (ВАНКОР)" xfId="1216" xr:uid="{00000000-0005-0000-0000-0000BF040000}"/>
    <cellStyle name="_УФ по бурению 2007 (1000-336-х)_расчет СС_ВСНК_с БКФ" xfId="1217" xr:uid="{00000000-0005-0000-0000-0000C0040000}"/>
    <cellStyle name="_УФ по бурению 2007 (1000-336-х)_Расчет стоимости скв" xfId="1218" xr:uid="{00000000-0005-0000-0000-0000C1040000}"/>
    <cellStyle name="_УФ по бурению 2007 (1000-336-х)_Расчет стоимости скв 17 Ванкор" xfId="1219" xr:uid="{00000000-0005-0000-0000-0000C2040000}"/>
    <cellStyle name="_УФ по бурению 2007 (1000-336-х)_Расчет стоимости скв 17 Ванкор_Анализ_СС тендер 09 свод" xfId="1220" xr:uid="{00000000-0005-0000-0000-0000C3040000}"/>
    <cellStyle name="_УФ по бурению 2007 (1000-336-х)_Расчет стоимости скв 17 Ванкор_Анализ_СС тендер 09 свод_копия для доработки_090908" xfId="1221" xr:uid="{00000000-0005-0000-0000-0000C4040000}"/>
    <cellStyle name="_УФ по бурению 2007 (1000-336-х)_Расчет стоимости скв_авиация" xfId="1222" xr:uid="{00000000-0005-0000-0000-0000C5040000}"/>
    <cellStyle name="_УФ по бурению 2007 (1000-336-х)_Расчет стоимости скв_Выручка ЭБ ВСНК 09 ред.241108" xfId="1223" xr:uid="{00000000-0005-0000-0000-0000C6040000}"/>
    <cellStyle name="_УФ по бурению 2007 (1000-336-х)_Расчет стоимости скв_Выручка ЭБ ВСНК 09 ред.241108_для ВСНК" xfId="1224" xr:uid="{00000000-0005-0000-0000-0000C7040000}"/>
    <cellStyle name="_УФ по бурению 2007 (1000-336-х)_Расчет стоимости скв_Копия стоимость Юр-81 ред 160309 печать" xfId="1225" xr:uid="{00000000-0005-0000-0000-0000C8040000}"/>
    <cellStyle name="_УФ по бурению 2007 (1000-336-х)_Расчет стоимости скв_расчет БПО 141008" xfId="1226" xr:uid="{00000000-0005-0000-0000-0000C9040000}"/>
    <cellStyle name="_УФ по бурению 2007 (1000-336-х)_Расчет стоимости скв_расчет СС_ВСНК_ЭБ_09 ред 111108" xfId="1227" xr:uid="{00000000-0005-0000-0000-0000CA040000}"/>
    <cellStyle name="_УФ по бурению 2007 (1000-336-х)_Расчет стоимости скв_расчет СС_ВСНК_ЭБ_09 ред 161008" xfId="1228" xr:uid="{00000000-0005-0000-0000-0000CB040000}"/>
    <cellStyle name="_УФ по бурению 2007 (1000-336-х)_Расчет стоимости скв_расчет СС_ВСНК_ЭБ_09 ред 201008" xfId="1229" xr:uid="{00000000-0005-0000-0000-0000CC040000}"/>
    <cellStyle name="_УФ по бурению 2007 (1000-336-х)_Расчет стоимости скв_Расчет стоимости Петим-3 ред 250309" xfId="1230" xr:uid="{00000000-0005-0000-0000-0000CD040000}"/>
    <cellStyle name="_УФ по бурению 2007 (1000-336-х)_Расчет стоимости скв_стоимость Юр-81 ред 130309 от Дьяченко" xfId="1231" xr:uid="{00000000-0005-0000-0000-0000CE040000}"/>
    <cellStyle name="_УФ по бурению 2007 (1000-336-х)_Расчет стоимости скв_стоимость Юр-81 ред 131208 для ВСНК нов сервис" xfId="1232" xr:uid="{00000000-0005-0000-0000-0000CF040000}"/>
    <cellStyle name="_УФ по бурению 2007 (1000-336-х)_Расчет стоимости скв_стоимость Юр-81 ред 140209 в договор" xfId="1233" xr:uid="{00000000-0005-0000-0000-0000D0040000}"/>
    <cellStyle name="_УФ по бурению 2007 (1000-336-х)_Расчет стоимости скв_стоимость Юр-81 ред 160309" xfId="1234" xr:uid="{00000000-0005-0000-0000-0000D1040000}"/>
    <cellStyle name="_УФ по бурению 2007 (1000-336-х)_Расчет стоимости скв_стоимость Юр-81 ред 180209" xfId="1235" xr:uid="{00000000-0005-0000-0000-0000D2040000}"/>
    <cellStyle name="_УФ по бурению 2007 (1000-336-х)_Расчет стоимости скв_стоимость Юр-81 ред 190109" xfId="1236" xr:uid="{00000000-0005-0000-0000-0000D3040000}"/>
    <cellStyle name="_УФ по бурению 2007 (1000-336-х)_Расчет стоимости скв_стоимость Юр-81 ред 200309 на 100 сут.уточн_1" xfId="1237" xr:uid="{00000000-0005-0000-0000-0000D4040000}"/>
    <cellStyle name="_УФ по бурению 2007 (1000-336-х)_Расчет стоимости скв_стоимость Юр-81 ред 210109 в договор" xfId="1238" xr:uid="{00000000-0005-0000-0000-0000D5040000}"/>
    <cellStyle name="_УФ по бурению 2007 (1000-336-х)_Расчет стоимости скв_стоимость Юр-81 ред 241108" xfId="1239" xr:uid="{00000000-0005-0000-0000-0000D6040000}"/>
    <cellStyle name="_УФ по бурению 2007 (1000-336-х)_Расчет стоимости скв_стоимость Юр-81 ред 241108 без БПО" xfId="1240" xr:uid="{00000000-0005-0000-0000-0000D7040000}"/>
    <cellStyle name="_УФ по бурению 2007 (1000-336-х)_Расчет стоимости скв_стоимость Юр-81 ред 241108_в ВСНК" xfId="1241" xr:uid="{00000000-0005-0000-0000-0000D8040000}"/>
    <cellStyle name="_УФ по бурению 2007 (1000-336-х)_Расчет стоимости скв_Юр-81 исп со станка" xfId="1242" xr:uid="{00000000-0005-0000-0000-0000D9040000}"/>
    <cellStyle name="_УЦК_  29 12 09 Дружба-387- 397 км-16 12 2009++++-хх" xfId="1243" xr:uid="{00000000-0005-0000-0000-0000DA040000}"/>
    <cellStyle name="_Уяр ТЗ 2_" xfId="1244" xr:uid="{00000000-0005-0000-0000-0000DB040000}"/>
    <cellStyle name="_ф 7" xfId="1245" xr:uid="{00000000-0005-0000-0000-0000DC040000}"/>
    <cellStyle name="_Форма бюджета Нишкевич Ю.А." xfId="1246" xr:uid="{00000000-0005-0000-0000-0000DD040000}"/>
    <cellStyle name="_Форма в пакете бизнес-плана" xfId="1247" xr:uid="{00000000-0005-0000-0000-0000DE040000}"/>
    <cellStyle name="_Форма в пакете бизнес-плана_Разделы 14, 8(1).2, 9  БП РН-Бурение 2008-2012 (ВАНКОР)" xfId="1248" xr:uid="{00000000-0005-0000-0000-0000DF040000}"/>
    <cellStyle name="_Форма ГБ №4 ЗБС" xfId="1249" xr:uid="{00000000-0005-0000-0000-0000E0040000}"/>
    <cellStyle name="_Форма ГБ №4 ЗБС_Разделы 14, 8(1).2, 9  БП РН-Бурение 2008-2012 (ВАНКОР)" xfId="1250" xr:uid="{00000000-0005-0000-0000-0000E1040000}"/>
    <cellStyle name="_Форма Роснефть свод 2007г. для БП  с 8 496руб. за 1м." xfId="1251" xr:uid="{00000000-0005-0000-0000-0000E2040000}"/>
    <cellStyle name="_Форма2" xfId="1252" xr:uid="{00000000-0005-0000-0000-0000E3040000}"/>
    <cellStyle name="_Формы 8 и 8.1. макета БП" xfId="1253" xr:uid="{00000000-0005-0000-0000-0000E4040000}"/>
    <cellStyle name="_Формы АСУ для БП на 2003год_ егор в кис" xfId="1254" xr:uid="{00000000-0005-0000-0000-0000E5040000}"/>
    <cellStyle name="_ЦДНГ-4 ВЛ-6кВ    ф.1-13  (1)" xfId="1255" xr:uid="{00000000-0005-0000-0000-0000E6040000}"/>
    <cellStyle name="_Шаблон НПЗ CAPEX 2009 факт" xfId="1256" xr:uid="{00000000-0005-0000-0000-0000E7040000}"/>
    <cellStyle name="_Шаблон формы П 3" xfId="1257" xr:uid="{00000000-0005-0000-0000-0000E8040000}"/>
    <cellStyle name="_Шаблон формы П 3_РБС ф-1" xfId="1258" xr:uid="{00000000-0005-0000-0000-0000E9040000}"/>
    <cellStyle name="_Шаблон формы П 3_форма 2 - изм4+" xfId="1259" xr:uid="{00000000-0005-0000-0000-0000EA040000}"/>
    <cellStyle name="_ЩСУ 394" xfId="1260" xr:uid="{00000000-0005-0000-0000-0000EB040000}"/>
    <cellStyle name="_ЩСУ 394_02.02 Согласовано Смета АЗС склад  (0002-И-ЦУП ВСТО)" xfId="1261" xr:uid="{00000000-0005-0000-0000-0000EC040000}"/>
    <cellStyle name="_ЩСУ 394_08.02. ГТП Инж. защ." xfId="1262" xr:uid="{00000000-0005-0000-0000-0000ED040000}"/>
    <cellStyle name="_ЩСУ 394_11004 ОПС Кимельтей 14.08.09г." xfId="1263" xr:uid="{00000000-0005-0000-0000-0000EE040000}"/>
    <cellStyle name="_ЩСУ 394_11004 ОПС Кимельтей 14.08.09г. 2" xfId="1264" xr:uid="{00000000-0005-0000-0000-0000EF040000}"/>
    <cellStyle name="_ЩСУ 394_24 02  УЦК Смета АЗС склад  (0002-И-ЦУП ВСТО)" xfId="1265" xr:uid="{00000000-0005-0000-0000-0000F0040000}"/>
    <cellStyle name="_ЩСУ 394_28 01  ГТП Смета АЗС склад  (0002-И-ЦУП ВСТО)" xfId="1266" xr:uid="{00000000-0005-0000-0000-0000F1040000}"/>
    <cellStyle name="_ЩСУ 394_Копия замечания Я-М 283-314 " xfId="1267" xr:uid="{00000000-0005-0000-0000-0000F2040000}"/>
    <cellStyle name="_ЩСУ 394_ПИР АСТУЭ АИИСКУЭ 02_03_10" xfId="1268" xr:uid="{00000000-0005-0000-0000-0000F3040000}"/>
    <cellStyle name="_ЩСУ 394_ПИР АСТУЭ АИИСКУЭ 02_03_10 2" xfId="1269" xr:uid="{00000000-0005-0000-0000-0000F4040000}"/>
    <cellStyle name="_ЩСУ 394_ПИР ДОП работы -АИИСКУЭ НПС12_13" xfId="1270" xr:uid="{00000000-0005-0000-0000-0000F5040000}"/>
    <cellStyle name="_ЩСУ 394_ПИР ДОП работы -АИИСКУЭ НПС12_13 2" xfId="1271" xr:uid="{00000000-0005-0000-0000-0000F6040000}"/>
    <cellStyle name="_ЩСУ 394_форма 2 - изм4+" xfId="1272" xr:uid="{00000000-0005-0000-0000-0000F7040000}"/>
    <cellStyle name="_ЩСУ Тайшет" xfId="1273" xr:uid="{00000000-0005-0000-0000-0000F8040000}"/>
    <cellStyle name="_Эк-ка Прочие ДАО" xfId="1274" xr:uid="{00000000-0005-0000-0000-0000F9040000}"/>
    <cellStyle name="_Эк-ка Прочие ДАО_Р.12 Труд" xfId="1275" xr:uid="{00000000-0005-0000-0000-0000FA040000}"/>
    <cellStyle name="_Экспертиза" xfId="1276" xr:uid="{00000000-0005-0000-0000-0000FB040000}"/>
    <cellStyle name="_Экспертиза ГЭС" xfId="1277" xr:uid="{00000000-0005-0000-0000-0000FC040000}"/>
    <cellStyle name="_Экспертиза ГЭС_РБС ф-1" xfId="1278" xr:uid="{00000000-0005-0000-0000-0000FD040000}"/>
    <cellStyle name="_Экспертиза ГЭС_форма 2 - АЗС и склады" xfId="1279" xr:uid="{00000000-0005-0000-0000-0000FE040000}"/>
    <cellStyle name="_Экспертиза ГЭС_форма 2 - изм4+" xfId="1280" xr:uid="{00000000-0005-0000-0000-0000FF040000}"/>
    <cellStyle name="_Экспертиза РВС20т.м3 №1А ЛПДС Юргамыш" xfId="1281" xr:uid="{00000000-0005-0000-0000-000000050000}"/>
    <cellStyle name="_Экспертиза РВС20т.м3 №1А ЛПДС Юргамыш_РБС ф-1" xfId="1282" xr:uid="{00000000-0005-0000-0000-000001050000}"/>
    <cellStyle name="_Экспертиза РВС20т.м3 №1А ЛПДС Юргамыш_форма 2 - АЗС и склады" xfId="1283" xr:uid="{00000000-0005-0000-0000-000002050000}"/>
    <cellStyle name="_Экспертиза РВС20т.м3 №1А ЛПДС Юргамыш_форма 2 - изм4+" xfId="1284" xr:uid="{00000000-0005-0000-0000-000003050000}"/>
    <cellStyle name="_Экспертиза_РБС ф-1" xfId="1285" xr:uid="{00000000-0005-0000-0000-000004050000}"/>
    <cellStyle name="_Экспертиза_форма 2 - АЗС и склады" xfId="1286" xr:uid="{00000000-0005-0000-0000-000005050000}"/>
    <cellStyle name="_Экспертиза_форма 2 - изм4+" xfId="1287" xr:uid="{00000000-0005-0000-0000-000006050000}"/>
    <cellStyle name="_ЭПО проверка спецификаций" xfId="1288" xr:uid="{00000000-0005-0000-0000-000007050000}"/>
    <cellStyle name="_Юганскнефтегаз_Дт Кт (01 06 06)" xfId="1289" xr:uid="{00000000-0005-0000-0000-000008050000}"/>
    <cellStyle name="_Южно-Покачевское месторождения" xfId="1290" xr:uid="{00000000-0005-0000-0000-000009050000}"/>
    <cellStyle name="_ЮНГ_CAPEX(м)_2009-2013_план_v2" xfId="1291" xr:uid="{00000000-0005-0000-0000-00000A050000}"/>
    <cellStyle name="_ЮНГ_CAPEX_2008_факт" xfId="1292" xr:uid="{00000000-0005-0000-0000-00000B050000}"/>
    <cellStyle name="_Японское море_РД - ВНИИСТ" xfId="1293" xr:uid="{00000000-0005-0000-0000-00000C050000}"/>
    <cellStyle name="_Японское море_РД - ВНИИСТ_02.02 Согласовано Смета АЗС склад  (0002-И-ЦУП ВСТО)" xfId="1294" xr:uid="{00000000-0005-0000-0000-00000D050000}"/>
    <cellStyle name="_Японское море_РД - ВНИИСТ_08.02. ГТП Инж. защ." xfId="1295" xr:uid="{00000000-0005-0000-0000-00000E050000}"/>
    <cellStyle name="_Японское море_РД - ВНИИСТ_24 02  УЦК Смета АЗС склад  (0002-И-ЦУП ВСТО)" xfId="1296" xr:uid="{00000000-0005-0000-0000-00000F050000}"/>
    <cellStyle name="_Японское море_РД - ВНИИСТ_28 01  ГТП Смета АЗС склад  (0002-И-ЦУП ВСТО)" xfId="1297" xr:uid="{00000000-0005-0000-0000-000010050000}"/>
    <cellStyle name="_Японское море_РД - ВНИИСТ_форма 2 - изм4+" xfId="1298" xr:uid="{00000000-0005-0000-0000-000011050000}"/>
    <cellStyle name="=C:\WINNT35\SYSTEM32\COMMAND.COM" xfId="1299" xr:uid="{00000000-0005-0000-0000-000012050000}"/>
    <cellStyle name="=C:\WINNT35\SYSTEM32\COMMAND.COM 2" xfId="1300" xr:uid="{00000000-0005-0000-0000-000013050000}"/>
    <cellStyle name="0,00;0;" xfId="1301" xr:uid="{00000000-0005-0000-0000-000014050000}"/>
    <cellStyle name="1" xfId="1302" xr:uid="{00000000-0005-0000-0000-000015050000}"/>
    <cellStyle name="2" xfId="1303" xr:uid="{00000000-0005-0000-0000-000016050000}"/>
    <cellStyle name="20% - Accent1" xfId="1304" xr:uid="{00000000-0005-0000-0000-000017050000}"/>
    <cellStyle name="20% - Accent2" xfId="1305" xr:uid="{00000000-0005-0000-0000-000018050000}"/>
    <cellStyle name="20% - Accent3" xfId="1306" xr:uid="{00000000-0005-0000-0000-000019050000}"/>
    <cellStyle name="20% - Accent4" xfId="1307" xr:uid="{00000000-0005-0000-0000-00001A050000}"/>
    <cellStyle name="20% - Accent5" xfId="1308" xr:uid="{00000000-0005-0000-0000-00001B050000}"/>
    <cellStyle name="20% - Accent6" xfId="1309" xr:uid="{00000000-0005-0000-0000-00001C050000}"/>
    <cellStyle name="20% - Акцент1 10" xfId="1310" xr:uid="{00000000-0005-0000-0000-00001D050000}"/>
    <cellStyle name="20% - Акцент1 11" xfId="1311" xr:uid="{00000000-0005-0000-0000-00001E050000}"/>
    <cellStyle name="20% - Акцент1 2" xfId="1312" xr:uid="{00000000-0005-0000-0000-00001F050000}"/>
    <cellStyle name="20% - Акцент1 2 2" xfId="1313" xr:uid="{00000000-0005-0000-0000-000020050000}"/>
    <cellStyle name="20% - Акцент1 2 2 2" xfId="1314" xr:uid="{00000000-0005-0000-0000-000021050000}"/>
    <cellStyle name="20% - Акцент1 2 2 3" xfId="1315" xr:uid="{00000000-0005-0000-0000-000022050000}"/>
    <cellStyle name="20% - Акцент1 2 3" xfId="1316" xr:uid="{00000000-0005-0000-0000-000023050000}"/>
    <cellStyle name="20% - Акцент1 2 4" xfId="1317" xr:uid="{00000000-0005-0000-0000-000024050000}"/>
    <cellStyle name="20% - Акцент1 2_3370 СВЯЗЬxls" xfId="1318" xr:uid="{00000000-0005-0000-0000-000025050000}"/>
    <cellStyle name="20% - Акцент1 3" xfId="1319" xr:uid="{00000000-0005-0000-0000-000026050000}"/>
    <cellStyle name="20% - Акцент1 4" xfId="1320" xr:uid="{00000000-0005-0000-0000-000027050000}"/>
    <cellStyle name="20% - Акцент1 5" xfId="1321" xr:uid="{00000000-0005-0000-0000-000028050000}"/>
    <cellStyle name="20% - Акцент1 6" xfId="1322" xr:uid="{00000000-0005-0000-0000-000029050000}"/>
    <cellStyle name="20% - Акцент1 7" xfId="1323" xr:uid="{00000000-0005-0000-0000-00002A050000}"/>
    <cellStyle name="20% - Акцент1 8" xfId="1324" xr:uid="{00000000-0005-0000-0000-00002B050000}"/>
    <cellStyle name="20% - Акцент1 9" xfId="1325" xr:uid="{00000000-0005-0000-0000-00002C050000}"/>
    <cellStyle name="20% - Акцент2 10" xfId="1326" xr:uid="{00000000-0005-0000-0000-00002D050000}"/>
    <cellStyle name="20% - Акцент2 11" xfId="1327" xr:uid="{00000000-0005-0000-0000-00002E050000}"/>
    <cellStyle name="20% - Акцент2 2" xfId="1328" xr:uid="{00000000-0005-0000-0000-00002F050000}"/>
    <cellStyle name="20% - Акцент2 2 2" xfId="1329" xr:uid="{00000000-0005-0000-0000-000030050000}"/>
    <cellStyle name="20% - Акцент2 2 2 2" xfId="1330" xr:uid="{00000000-0005-0000-0000-000031050000}"/>
    <cellStyle name="20% - Акцент2 2 2 3" xfId="1331" xr:uid="{00000000-0005-0000-0000-000032050000}"/>
    <cellStyle name="20% - Акцент2 2 3" xfId="1332" xr:uid="{00000000-0005-0000-0000-000033050000}"/>
    <cellStyle name="20% - Акцент2 2 4" xfId="1333" xr:uid="{00000000-0005-0000-0000-000034050000}"/>
    <cellStyle name="20% - Акцент2 2_3370 СВЯЗЬxls" xfId="1334" xr:uid="{00000000-0005-0000-0000-000035050000}"/>
    <cellStyle name="20% - Акцент2 3" xfId="1335" xr:uid="{00000000-0005-0000-0000-000036050000}"/>
    <cellStyle name="20% - Акцент2 4" xfId="1336" xr:uid="{00000000-0005-0000-0000-000037050000}"/>
    <cellStyle name="20% - Акцент2 5" xfId="1337" xr:uid="{00000000-0005-0000-0000-000038050000}"/>
    <cellStyle name="20% - Акцент2 6" xfId="1338" xr:uid="{00000000-0005-0000-0000-000039050000}"/>
    <cellStyle name="20% - Акцент2 7" xfId="1339" xr:uid="{00000000-0005-0000-0000-00003A050000}"/>
    <cellStyle name="20% - Акцент2 8" xfId="1340" xr:uid="{00000000-0005-0000-0000-00003B050000}"/>
    <cellStyle name="20% - Акцент2 9" xfId="1341" xr:uid="{00000000-0005-0000-0000-00003C050000}"/>
    <cellStyle name="20% - Акцент3 10" xfId="1342" xr:uid="{00000000-0005-0000-0000-00003D050000}"/>
    <cellStyle name="20% - Акцент3 11" xfId="1343" xr:uid="{00000000-0005-0000-0000-00003E050000}"/>
    <cellStyle name="20% - Акцент3 2" xfId="1344" xr:uid="{00000000-0005-0000-0000-00003F050000}"/>
    <cellStyle name="20% - Акцент3 2 2" xfId="1345" xr:uid="{00000000-0005-0000-0000-000040050000}"/>
    <cellStyle name="20% - Акцент3 2 2 2" xfId="1346" xr:uid="{00000000-0005-0000-0000-000041050000}"/>
    <cellStyle name="20% - Акцент3 2 2 3" xfId="1347" xr:uid="{00000000-0005-0000-0000-000042050000}"/>
    <cellStyle name="20% - Акцент3 2 3" xfId="1348" xr:uid="{00000000-0005-0000-0000-000043050000}"/>
    <cellStyle name="20% - Акцент3 2 4" xfId="1349" xr:uid="{00000000-0005-0000-0000-000044050000}"/>
    <cellStyle name="20% - Акцент3 2_3370 СВЯЗЬxls" xfId="1350" xr:uid="{00000000-0005-0000-0000-000045050000}"/>
    <cellStyle name="20% - Акцент3 3" xfId="1351" xr:uid="{00000000-0005-0000-0000-000046050000}"/>
    <cellStyle name="20% - Акцент3 4" xfId="1352" xr:uid="{00000000-0005-0000-0000-000047050000}"/>
    <cellStyle name="20% - Акцент3 5" xfId="1353" xr:uid="{00000000-0005-0000-0000-000048050000}"/>
    <cellStyle name="20% - Акцент3 6" xfId="1354" xr:uid="{00000000-0005-0000-0000-000049050000}"/>
    <cellStyle name="20% - Акцент3 7" xfId="1355" xr:uid="{00000000-0005-0000-0000-00004A050000}"/>
    <cellStyle name="20% - Акцент3 8" xfId="1356" xr:uid="{00000000-0005-0000-0000-00004B050000}"/>
    <cellStyle name="20% - Акцент3 9" xfId="1357" xr:uid="{00000000-0005-0000-0000-00004C050000}"/>
    <cellStyle name="20% - Акцент4 10" xfId="1358" xr:uid="{00000000-0005-0000-0000-00004D050000}"/>
    <cellStyle name="20% - Акцент4 11" xfId="1359" xr:uid="{00000000-0005-0000-0000-00004E050000}"/>
    <cellStyle name="20% - Акцент4 2" xfId="1360" xr:uid="{00000000-0005-0000-0000-00004F050000}"/>
    <cellStyle name="20% - Акцент4 2 2" xfId="1361" xr:uid="{00000000-0005-0000-0000-000050050000}"/>
    <cellStyle name="20% - Акцент4 2 2 2" xfId="1362" xr:uid="{00000000-0005-0000-0000-000051050000}"/>
    <cellStyle name="20% - Акцент4 2 2 3" xfId="1363" xr:uid="{00000000-0005-0000-0000-000052050000}"/>
    <cellStyle name="20% - Акцент4 2 3" xfId="1364" xr:uid="{00000000-0005-0000-0000-000053050000}"/>
    <cellStyle name="20% - Акцент4 2 4" xfId="1365" xr:uid="{00000000-0005-0000-0000-000054050000}"/>
    <cellStyle name="20% - Акцент4 2_3370 СВЯЗЬxls" xfId="1366" xr:uid="{00000000-0005-0000-0000-000055050000}"/>
    <cellStyle name="20% - Акцент4 3" xfId="1367" xr:uid="{00000000-0005-0000-0000-000056050000}"/>
    <cellStyle name="20% - Акцент4 4" xfId="1368" xr:uid="{00000000-0005-0000-0000-000057050000}"/>
    <cellStyle name="20% - Акцент4 5" xfId="1369" xr:uid="{00000000-0005-0000-0000-000058050000}"/>
    <cellStyle name="20% - Акцент4 6" xfId="1370" xr:uid="{00000000-0005-0000-0000-000059050000}"/>
    <cellStyle name="20% - Акцент4 7" xfId="1371" xr:uid="{00000000-0005-0000-0000-00005A050000}"/>
    <cellStyle name="20% - Акцент4 8" xfId="1372" xr:uid="{00000000-0005-0000-0000-00005B050000}"/>
    <cellStyle name="20% - Акцент4 9" xfId="1373" xr:uid="{00000000-0005-0000-0000-00005C050000}"/>
    <cellStyle name="20% - Акцент5 2" xfId="1374" xr:uid="{00000000-0005-0000-0000-00005D050000}"/>
    <cellStyle name="20% - Акцент5 2 2" xfId="1375" xr:uid="{00000000-0005-0000-0000-00005E050000}"/>
    <cellStyle name="20% - Акцент5 2 2 2" xfId="1376" xr:uid="{00000000-0005-0000-0000-00005F050000}"/>
    <cellStyle name="20% - Акцент5 2 2 3" xfId="1377" xr:uid="{00000000-0005-0000-0000-000060050000}"/>
    <cellStyle name="20% - Акцент5 2 3" xfId="1378" xr:uid="{00000000-0005-0000-0000-000061050000}"/>
    <cellStyle name="20% - Акцент5 2 4" xfId="1379" xr:uid="{00000000-0005-0000-0000-000062050000}"/>
    <cellStyle name="20% - Акцент5 2_3370 СВЯЗЬxls" xfId="1380" xr:uid="{00000000-0005-0000-0000-000063050000}"/>
    <cellStyle name="20% - Акцент5 3" xfId="1381" xr:uid="{00000000-0005-0000-0000-000064050000}"/>
    <cellStyle name="20% - Акцент5 4" xfId="1382" xr:uid="{00000000-0005-0000-0000-000065050000}"/>
    <cellStyle name="20% - Акцент6 10" xfId="1383" xr:uid="{00000000-0005-0000-0000-000066050000}"/>
    <cellStyle name="20% - Акцент6 11" xfId="1384" xr:uid="{00000000-0005-0000-0000-000067050000}"/>
    <cellStyle name="20% - Акцент6 2" xfId="1385" xr:uid="{00000000-0005-0000-0000-000068050000}"/>
    <cellStyle name="20% - Акцент6 2 2" xfId="1386" xr:uid="{00000000-0005-0000-0000-000069050000}"/>
    <cellStyle name="20% - Акцент6 2 2 2" xfId="1387" xr:uid="{00000000-0005-0000-0000-00006A050000}"/>
    <cellStyle name="20% - Акцент6 2 2 3" xfId="1388" xr:uid="{00000000-0005-0000-0000-00006B050000}"/>
    <cellStyle name="20% - Акцент6 2 3" xfId="1389" xr:uid="{00000000-0005-0000-0000-00006C050000}"/>
    <cellStyle name="20% - Акцент6 2 4" xfId="1390" xr:uid="{00000000-0005-0000-0000-00006D050000}"/>
    <cellStyle name="20% - Акцент6 2_3370 СВЯЗЬxls" xfId="1391" xr:uid="{00000000-0005-0000-0000-00006E050000}"/>
    <cellStyle name="20% - Акцент6 3" xfId="1392" xr:uid="{00000000-0005-0000-0000-00006F050000}"/>
    <cellStyle name="20% - Акцент6 4" xfId="1393" xr:uid="{00000000-0005-0000-0000-000070050000}"/>
    <cellStyle name="20% - Акцент6 5" xfId="1394" xr:uid="{00000000-0005-0000-0000-000071050000}"/>
    <cellStyle name="20% - Акцент6 6" xfId="1395" xr:uid="{00000000-0005-0000-0000-000072050000}"/>
    <cellStyle name="20% - Акцент6 7" xfId="1396" xr:uid="{00000000-0005-0000-0000-000073050000}"/>
    <cellStyle name="20% - Акцент6 8" xfId="1397" xr:uid="{00000000-0005-0000-0000-000074050000}"/>
    <cellStyle name="20% - Акцент6 9" xfId="1398" xr:uid="{00000000-0005-0000-0000-000075050000}"/>
    <cellStyle name="3" xfId="1399" xr:uid="{00000000-0005-0000-0000-000076050000}"/>
    <cellStyle name="4" xfId="1400" xr:uid="{00000000-0005-0000-0000-000077050000}"/>
    <cellStyle name="4_Анализ_СС тендер 09 свод" xfId="1401" xr:uid="{00000000-0005-0000-0000-000078050000}"/>
    <cellStyle name="4_Анализ_СС тендер 09 свод_копия для доработки_090908" xfId="1402" xr:uid="{00000000-0005-0000-0000-000079050000}"/>
    <cellStyle name="40% - Accent1" xfId="1403" xr:uid="{00000000-0005-0000-0000-00007A050000}"/>
    <cellStyle name="40% - Accent2" xfId="1404" xr:uid="{00000000-0005-0000-0000-00007B050000}"/>
    <cellStyle name="40% - Accent3" xfId="1405" xr:uid="{00000000-0005-0000-0000-00007C050000}"/>
    <cellStyle name="40% - Accent4" xfId="1406" xr:uid="{00000000-0005-0000-0000-00007D050000}"/>
    <cellStyle name="40% - Accent5" xfId="1407" xr:uid="{00000000-0005-0000-0000-00007E050000}"/>
    <cellStyle name="40% - Accent6" xfId="1408" xr:uid="{00000000-0005-0000-0000-00007F050000}"/>
    <cellStyle name="40% - Акцент1 10" xfId="1409" xr:uid="{00000000-0005-0000-0000-000080050000}"/>
    <cellStyle name="40% - Акцент1 11" xfId="1410" xr:uid="{00000000-0005-0000-0000-000081050000}"/>
    <cellStyle name="40% - Акцент1 2" xfId="1411" xr:uid="{00000000-0005-0000-0000-000082050000}"/>
    <cellStyle name="40% - Акцент1 2 2" xfId="1412" xr:uid="{00000000-0005-0000-0000-000083050000}"/>
    <cellStyle name="40% - Акцент1 2 2 2" xfId="1413" xr:uid="{00000000-0005-0000-0000-000084050000}"/>
    <cellStyle name="40% - Акцент1 2 2 3" xfId="1414" xr:uid="{00000000-0005-0000-0000-000085050000}"/>
    <cellStyle name="40% - Акцент1 2 3" xfId="1415" xr:uid="{00000000-0005-0000-0000-000086050000}"/>
    <cellStyle name="40% - Акцент1 2 4" xfId="1416" xr:uid="{00000000-0005-0000-0000-000087050000}"/>
    <cellStyle name="40% - Акцент1 2_3370 СВЯЗЬxls" xfId="1417" xr:uid="{00000000-0005-0000-0000-000088050000}"/>
    <cellStyle name="40% - Акцент1 3" xfId="1418" xr:uid="{00000000-0005-0000-0000-000089050000}"/>
    <cellStyle name="40% - Акцент1 4" xfId="1419" xr:uid="{00000000-0005-0000-0000-00008A050000}"/>
    <cellStyle name="40% - Акцент1 5" xfId="1420" xr:uid="{00000000-0005-0000-0000-00008B050000}"/>
    <cellStyle name="40% - Акцент1 6" xfId="1421" xr:uid="{00000000-0005-0000-0000-00008C050000}"/>
    <cellStyle name="40% - Акцент1 7" xfId="1422" xr:uid="{00000000-0005-0000-0000-00008D050000}"/>
    <cellStyle name="40% - Акцент1 8" xfId="1423" xr:uid="{00000000-0005-0000-0000-00008E050000}"/>
    <cellStyle name="40% - Акцент1 9" xfId="1424" xr:uid="{00000000-0005-0000-0000-00008F050000}"/>
    <cellStyle name="40% - Акцент2 2" xfId="1425" xr:uid="{00000000-0005-0000-0000-000090050000}"/>
    <cellStyle name="40% - Акцент2 2 2" xfId="1426" xr:uid="{00000000-0005-0000-0000-000091050000}"/>
    <cellStyle name="40% - Акцент2 2 2 2" xfId="1427" xr:uid="{00000000-0005-0000-0000-000092050000}"/>
    <cellStyle name="40% - Акцент2 2 2 3" xfId="1428" xr:uid="{00000000-0005-0000-0000-000093050000}"/>
    <cellStyle name="40% - Акцент2 2 3" xfId="1429" xr:uid="{00000000-0005-0000-0000-000094050000}"/>
    <cellStyle name="40% - Акцент2 2 4" xfId="1430" xr:uid="{00000000-0005-0000-0000-000095050000}"/>
    <cellStyle name="40% - Акцент2 2_3370 СВЯЗЬxls" xfId="1431" xr:uid="{00000000-0005-0000-0000-000096050000}"/>
    <cellStyle name="40% - Акцент2 3" xfId="1432" xr:uid="{00000000-0005-0000-0000-000097050000}"/>
    <cellStyle name="40% - Акцент2 4" xfId="1433" xr:uid="{00000000-0005-0000-0000-000098050000}"/>
    <cellStyle name="40% - Акцент3 10" xfId="1434" xr:uid="{00000000-0005-0000-0000-000099050000}"/>
    <cellStyle name="40% - Акцент3 11" xfId="1435" xr:uid="{00000000-0005-0000-0000-00009A050000}"/>
    <cellStyle name="40% - Акцент3 2" xfId="1436" xr:uid="{00000000-0005-0000-0000-00009B050000}"/>
    <cellStyle name="40% - Акцент3 2 2" xfId="1437" xr:uid="{00000000-0005-0000-0000-00009C050000}"/>
    <cellStyle name="40% - Акцент3 2 2 2" xfId="1438" xr:uid="{00000000-0005-0000-0000-00009D050000}"/>
    <cellStyle name="40% - Акцент3 2 2 3" xfId="1439" xr:uid="{00000000-0005-0000-0000-00009E050000}"/>
    <cellStyle name="40% - Акцент3 2 3" xfId="1440" xr:uid="{00000000-0005-0000-0000-00009F050000}"/>
    <cellStyle name="40% - Акцент3 2 4" xfId="1441" xr:uid="{00000000-0005-0000-0000-0000A0050000}"/>
    <cellStyle name="40% - Акцент3 2_3370 СВЯЗЬxls" xfId="1442" xr:uid="{00000000-0005-0000-0000-0000A1050000}"/>
    <cellStyle name="40% - Акцент3 3" xfId="1443" xr:uid="{00000000-0005-0000-0000-0000A2050000}"/>
    <cellStyle name="40% - Акцент3 4" xfId="1444" xr:uid="{00000000-0005-0000-0000-0000A3050000}"/>
    <cellStyle name="40% - Акцент3 5" xfId="1445" xr:uid="{00000000-0005-0000-0000-0000A4050000}"/>
    <cellStyle name="40% - Акцент3 6" xfId="1446" xr:uid="{00000000-0005-0000-0000-0000A5050000}"/>
    <cellStyle name="40% - Акцент3 7" xfId="1447" xr:uid="{00000000-0005-0000-0000-0000A6050000}"/>
    <cellStyle name="40% - Акцент3 8" xfId="1448" xr:uid="{00000000-0005-0000-0000-0000A7050000}"/>
    <cellStyle name="40% - Акцент3 9" xfId="1449" xr:uid="{00000000-0005-0000-0000-0000A8050000}"/>
    <cellStyle name="40% - Акцент4 10" xfId="1450" xr:uid="{00000000-0005-0000-0000-0000A9050000}"/>
    <cellStyle name="40% - Акцент4 11" xfId="1451" xr:uid="{00000000-0005-0000-0000-0000AA050000}"/>
    <cellStyle name="40% - Акцент4 2" xfId="1452" xr:uid="{00000000-0005-0000-0000-0000AB050000}"/>
    <cellStyle name="40% - Акцент4 2 2" xfId="1453" xr:uid="{00000000-0005-0000-0000-0000AC050000}"/>
    <cellStyle name="40% - Акцент4 2 2 2" xfId="1454" xr:uid="{00000000-0005-0000-0000-0000AD050000}"/>
    <cellStyle name="40% - Акцент4 2 2 3" xfId="1455" xr:uid="{00000000-0005-0000-0000-0000AE050000}"/>
    <cellStyle name="40% - Акцент4 2 3" xfId="1456" xr:uid="{00000000-0005-0000-0000-0000AF050000}"/>
    <cellStyle name="40% - Акцент4 2 4" xfId="1457" xr:uid="{00000000-0005-0000-0000-0000B0050000}"/>
    <cellStyle name="40% - Акцент4 2_3370 СВЯЗЬxls" xfId="1458" xr:uid="{00000000-0005-0000-0000-0000B1050000}"/>
    <cellStyle name="40% - Акцент4 3" xfId="1459" xr:uid="{00000000-0005-0000-0000-0000B2050000}"/>
    <cellStyle name="40% - Акцент4 4" xfId="1460" xr:uid="{00000000-0005-0000-0000-0000B3050000}"/>
    <cellStyle name="40% - Акцент4 5" xfId="1461" xr:uid="{00000000-0005-0000-0000-0000B4050000}"/>
    <cellStyle name="40% - Акцент4 6" xfId="1462" xr:uid="{00000000-0005-0000-0000-0000B5050000}"/>
    <cellStyle name="40% - Акцент4 7" xfId="1463" xr:uid="{00000000-0005-0000-0000-0000B6050000}"/>
    <cellStyle name="40% - Акцент4 8" xfId="1464" xr:uid="{00000000-0005-0000-0000-0000B7050000}"/>
    <cellStyle name="40% - Акцент4 9" xfId="1465" xr:uid="{00000000-0005-0000-0000-0000B8050000}"/>
    <cellStyle name="40% - Акцент5 2" xfId="1466" xr:uid="{00000000-0005-0000-0000-0000B9050000}"/>
    <cellStyle name="40% - Акцент5 2 2" xfId="1467" xr:uid="{00000000-0005-0000-0000-0000BA050000}"/>
    <cellStyle name="40% - Акцент5 2 2 2" xfId="1468" xr:uid="{00000000-0005-0000-0000-0000BB050000}"/>
    <cellStyle name="40% - Акцент5 2 2 3" xfId="1469" xr:uid="{00000000-0005-0000-0000-0000BC050000}"/>
    <cellStyle name="40% - Акцент5 2 3" xfId="1470" xr:uid="{00000000-0005-0000-0000-0000BD050000}"/>
    <cellStyle name="40% - Акцент5 2 4" xfId="1471" xr:uid="{00000000-0005-0000-0000-0000BE050000}"/>
    <cellStyle name="40% - Акцент5 2_3370 СВЯЗЬxls" xfId="1472" xr:uid="{00000000-0005-0000-0000-0000BF050000}"/>
    <cellStyle name="40% - Акцент5 3" xfId="1473" xr:uid="{00000000-0005-0000-0000-0000C0050000}"/>
    <cellStyle name="40% - Акцент5 4" xfId="1474" xr:uid="{00000000-0005-0000-0000-0000C1050000}"/>
    <cellStyle name="40% - Акцент6 10" xfId="1475" xr:uid="{00000000-0005-0000-0000-0000C2050000}"/>
    <cellStyle name="40% - Акцент6 11" xfId="1476" xr:uid="{00000000-0005-0000-0000-0000C3050000}"/>
    <cellStyle name="40% - Акцент6 2" xfId="1477" xr:uid="{00000000-0005-0000-0000-0000C4050000}"/>
    <cellStyle name="40% - Акцент6 2 2" xfId="1478" xr:uid="{00000000-0005-0000-0000-0000C5050000}"/>
    <cellStyle name="40% - Акцент6 2 2 2" xfId="1479" xr:uid="{00000000-0005-0000-0000-0000C6050000}"/>
    <cellStyle name="40% - Акцент6 2 2 3" xfId="1480" xr:uid="{00000000-0005-0000-0000-0000C7050000}"/>
    <cellStyle name="40% - Акцент6 2 3" xfId="1481" xr:uid="{00000000-0005-0000-0000-0000C8050000}"/>
    <cellStyle name="40% - Акцент6 2 4" xfId="1482" xr:uid="{00000000-0005-0000-0000-0000C9050000}"/>
    <cellStyle name="40% - Акцент6 2_3370 СВЯЗЬxls" xfId="1483" xr:uid="{00000000-0005-0000-0000-0000CA050000}"/>
    <cellStyle name="40% - Акцент6 3" xfId="1484" xr:uid="{00000000-0005-0000-0000-0000CB050000}"/>
    <cellStyle name="40% - Акцент6 4" xfId="1485" xr:uid="{00000000-0005-0000-0000-0000CC050000}"/>
    <cellStyle name="40% - Акцент6 5" xfId="1486" xr:uid="{00000000-0005-0000-0000-0000CD050000}"/>
    <cellStyle name="40% - Акцент6 6" xfId="1487" xr:uid="{00000000-0005-0000-0000-0000CE050000}"/>
    <cellStyle name="40% - Акцент6 7" xfId="1488" xr:uid="{00000000-0005-0000-0000-0000CF050000}"/>
    <cellStyle name="40% - Акцент6 8" xfId="1489" xr:uid="{00000000-0005-0000-0000-0000D0050000}"/>
    <cellStyle name="40% - Акцент6 9" xfId="1490" xr:uid="{00000000-0005-0000-0000-0000D1050000}"/>
    <cellStyle name="5" xfId="1491" xr:uid="{00000000-0005-0000-0000-0000D2050000}"/>
    <cellStyle name="60% - Accent1" xfId="1492" xr:uid="{00000000-0005-0000-0000-0000D3050000}"/>
    <cellStyle name="60% - Accent2" xfId="1493" xr:uid="{00000000-0005-0000-0000-0000D4050000}"/>
    <cellStyle name="60% - Accent3" xfId="1494" xr:uid="{00000000-0005-0000-0000-0000D5050000}"/>
    <cellStyle name="60% - Accent4" xfId="1495" xr:uid="{00000000-0005-0000-0000-0000D6050000}"/>
    <cellStyle name="60% - Accent5" xfId="1496" xr:uid="{00000000-0005-0000-0000-0000D7050000}"/>
    <cellStyle name="60% - Accent6" xfId="1497" xr:uid="{00000000-0005-0000-0000-0000D8050000}"/>
    <cellStyle name="60% - Акцент1 10" xfId="1498" xr:uid="{00000000-0005-0000-0000-0000D9050000}"/>
    <cellStyle name="60% - Акцент1 11" xfId="1499" xr:uid="{00000000-0005-0000-0000-0000DA050000}"/>
    <cellStyle name="60% - Акцент1 2" xfId="1500" xr:uid="{00000000-0005-0000-0000-0000DB050000}"/>
    <cellStyle name="60% - Акцент1 2 2" xfId="1501" xr:uid="{00000000-0005-0000-0000-0000DC050000}"/>
    <cellStyle name="60% - Акцент1 2_РБС ф-1" xfId="1502" xr:uid="{00000000-0005-0000-0000-0000DD050000}"/>
    <cellStyle name="60% - Акцент1 3" xfId="1503" xr:uid="{00000000-0005-0000-0000-0000DE050000}"/>
    <cellStyle name="60% - Акцент1 4" xfId="1504" xr:uid="{00000000-0005-0000-0000-0000DF050000}"/>
    <cellStyle name="60% - Акцент1 5" xfId="1505" xr:uid="{00000000-0005-0000-0000-0000E0050000}"/>
    <cellStyle name="60% - Акцент1 6" xfId="1506" xr:uid="{00000000-0005-0000-0000-0000E1050000}"/>
    <cellStyle name="60% - Акцент1 7" xfId="1507" xr:uid="{00000000-0005-0000-0000-0000E2050000}"/>
    <cellStyle name="60% - Акцент1 8" xfId="1508" xr:uid="{00000000-0005-0000-0000-0000E3050000}"/>
    <cellStyle name="60% - Акцент1 9" xfId="1509" xr:uid="{00000000-0005-0000-0000-0000E4050000}"/>
    <cellStyle name="60% - Акцент2 10" xfId="1510" xr:uid="{00000000-0005-0000-0000-0000E5050000}"/>
    <cellStyle name="60% - Акцент2 11" xfId="1511" xr:uid="{00000000-0005-0000-0000-0000E6050000}"/>
    <cellStyle name="60% - Акцент2 2" xfId="1512" xr:uid="{00000000-0005-0000-0000-0000E7050000}"/>
    <cellStyle name="60% - Акцент2 2 2" xfId="1513" xr:uid="{00000000-0005-0000-0000-0000E8050000}"/>
    <cellStyle name="60% - Акцент2 2_РБС ф-1" xfId="1514" xr:uid="{00000000-0005-0000-0000-0000E9050000}"/>
    <cellStyle name="60% - Акцент2 3" xfId="1515" xr:uid="{00000000-0005-0000-0000-0000EA050000}"/>
    <cellStyle name="60% - Акцент2 4" xfId="1516" xr:uid="{00000000-0005-0000-0000-0000EB050000}"/>
    <cellStyle name="60% - Акцент2 5" xfId="1517" xr:uid="{00000000-0005-0000-0000-0000EC050000}"/>
    <cellStyle name="60% - Акцент2 6" xfId="1518" xr:uid="{00000000-0005-0000-0000-0000ED050000}"/>
    <cellStyle name="60% - Акцент2 7" xfId="1519" xr:uid="{00000000-0005-0000-0000-0000EE050000}"/>
    <cellStyle name="60% - Акцент2 8" xfId="1520" xr:uid="{00000000-0005-0000-0000-0000EF050000}"/>
    <cellStyle name="60% - Акцент2 9" xfId="1521" xr:uid="{00000000-0005-0000-0000-0000F0050000}"/>
    <cellStyle name="60% - Акцент3 10" xfId="1522" xr:uid="{00000000-0005-0000-0000-0000F1050000}"/>
    <cellStyle name="60% - Акцент3 11" xfId="1523" xr:uid="{00000000-0005-0000-0000-0000F2050000}"/>
    <cellStyle name="60% - Акцент3 2" xfId="1524" xr:uid="{00000000-0005-0000-0000-0000F3050000}"/>
    <cellStyle name="60% - Акцент3 2 2" xfId="1525" xr:uid="{00000000-0005-0000-0000-0000F4050000}"/>
    <cellStyle name="60% - Акцент3 2_РБС ф-1" xfId="1526" xr:uid="{00000000-0005-0000-0000-0000F5050000}"/>
    <cellStyle name="60% - Акцент3 3" xfId="1527" xr:uid="{00000000-0005-0000-0000-0000F6050000}"/>
    <cellStyle name="60% - Акцент3 4" xfId="1528" xr:uid="{00000000-0005-0000-0000-0000F7050000}"/>
    <cellStyle name="60% - Акцент3 5" xfId="1529" xr:uid="{00000000-0005-0000-0000-0000F8050000}"/>
    <cellStyle name="60% - Акцент3 6" xfId="1530" xr:uid="{00000000-0005-0000-0000-0000F9050000}"/>
    <cellStyle name="60% - Акцент3 7" xfId="1531" xr:uid="{00000000-0005-0000-0000-0000FA050000}"/>
    <cellStyle name="60% - Акцент3 8" xfId="1532" xr:uid="{00000000-0005-0000-0000-0000FB050000}"/>
    <cellStyle name="60% - Акцент3 9" xfId="1533" xr:uid="{00000000-0005-0000-0000-0000FC050000}"/>
    <cellStyle name="60% - Акцент4 10" xfId="1534" xr:uid="{00000000-0005-0000-0000-0000FD050000}"/>
    <cellStyle name="60% - Акцент4 11" xfId="1535" xr:uid="{00000000-0005-0000-0000-0000FE050000}"/>
    <cellStyle name="60% - Акцент4 2" xfId="1536" xr:uid="{00000000-0005-0000-0000-0000FF050000}"/>
    <cellStyle name="60% - Акцент4 2 2" xfId="1537" xr:uid="{00000000-0005-0000-0000-000000060000}"/>
    <cellStyle name="60% - Акцент4 2_РБС ф-1" xfId="1538" xr:uid="{00000000-0005-0000-0000-000001060000}"/>
    <cellStyle name="60% - Акцент4 3" xfId="1539" xr:uid="{00000000-0005-0000-0000-000002060000}"/>
    <cellStyle name="60% - Акцент4 4" xfId="1540" xr:uid="{00000000-0005-0000-0000-000003060000}"/>
    <cellStyle name="60% - Акцент4 5" xfId="1541" xr:uid="{00000000-0005-0000-0000-000004060000}"/>
    <cellStyle name="60% - Акцент4 6" xfId="1542" xr:uid="{00000000-0005-0000-0000-000005060000}"/>
    <cellStyle name="60% - Акцент4 7" xfId="1543" xr:uid="{00000000-0005-0000-0000-000006060000}"/>
    <cellStyle name="60% - Акцент4 8" xfId="1544" xr:uid="{00000000-0005-0000-0000-000007060000}"/>
    <cellStyle name="60% - Акцент4 9" xfId="1545" xr:uid="{00000000-0005-0000-0000-000008060000}"/>
    <cellStyle name="60% - Акцент5 10" xfId="1546" xr:uid="{00000000-0005-0000-0000-000009060000}"/>
    <cellStyle name="60% - Акцент5 11" xfId="1547" xr:uid="{00000000-0005-0000-0000-00000A060000}"/>
    <cellStyle name="60% - Акцент5 2" xfId="1548" xr:uid="{00000000-0005-0000-0000-00000B060000}"/>
    <cellStyle name="60% - Акцент5 2 2" xfId="1549" xr:uid="{00000000-0005-0000-0000-00000C060000}"/>
    <cellStyle name="60% - Акцент5 2_РБС ф-1" xfId="1550" xr:uid="{00000000-0005-0000-0000-00000D060000}"/>
    <cellStyle name="60% - Акцент5 3" xfId="1551" xr:uid="{00000000-0005-0000-0000-00000E060000}"/>
    <cellStyle name="60% - Акцент5 4" xfId="1552" xr:uid="{00000000-0005-0000-0000-00000F060000}"/>
    <cellStyle name="60% - Акцент5 5" xfId="1553" xr:uid="{00000000-0005-0000-0000-000010060000}"/>
    <cellStyle name="60% - Акцент5 6" xfId="1554" xr:uid="{00000000-0005-0000-0000-000011060000}"/>
    <cellStyle name="60% - Акцент5 7" xfId="1555" xr:uid="{00000000-0005-0000-0000-000012060000}"/>
    <cellStyle name="60% - Акцент5 8" xfId="1556" xr:uid="{00000000-0005-0000-0000-000013060000}"/>
    <cellStyle name="60% - Акцент5 9" xfId="1557" xr:uid="{00000000-0005-0000-0000-000014060000}"/>
    <cellStyle name="60% - Акцент6 10" xfId="1558" xr:uid="{00000000-0005-0000-0000-000015060000}"/>
    <cellStyle name="60% - Акцент6 11" xfId="1559" xr:uid="{00000000-0005-0000-0000-000016060000}"/>
    <cellStyle name="60% - Акцент6 2" xfId="1560" xr:uid="{00000000-0005-0000-0000-000017060000}"/>
    <cellStyle name="60% - Акцент6 2 2" xfId="1561" xr:uid="{00000000-0005-0000-0000-000018060000}"/>
    <cellStyle name="60% - Акцент6 2_РБС ф-1" xfId="1562" xr:uid="{00000000-0005-0000-0000-000019060000}"/>
    <cellStyle name="60% - Акцент6 3" xfId="1563" xr:uid="{00000000-0005-0000-0000-00001A060000}"/>
    <cellStyle name="60% - Акцент6 4" xfId="1564" xr:uid="{00000000-0005-0000-0000-00001B060000}"/>
    <cellStyle name="60% - Акцент6 5" xfId="1565" xr:uid="{00000000-0005-0000-0000-00001C060000}"/>
    <cellStyle name="60% - Акцент6 6" xfId="1566" xr:uid="{00000000-0005-0000-0000-00001D060000}"/>
    <cellStyle name="60% - Акцент6 7" xfId="1567" xr:uid="{00000000-0005-0000-0000-00001E060000}"/>
    <cellStyle name="60% - Акцент6 8" xfId="1568" xr:uid="{00000000-0005-0000-0000-00001F060000}"/>
    <cellStyle name="60% - Акцент6 9" xfId="1569" xr:uid="{00000000-0005-0000-0000-000020060000}"/>
    <cellStyle name="Aaia?iue [0]_1 yoa?" xfId="1570" xr:uid="{00000000-0005-0000-0000-000021060000}"/>
    <cellStyle name="Aaia?iue_1 yoa?" xfId="1571" xr:uid="{00000000-0005-0000-0000-000022060000}"/>
    <cellStyle name="Accent1" xfId="1572" xr:uid="{00000000-0005-0000-0000-000023060000}"/>
    <cellStyle name="Accent1 - 20%" xfId="1573" xr:uid="{00000000-0005-0000-0000-000024060000}"/>
    <cellStyle name="Accent1 - 20% 2" xfId="1574" xr:uid="{00000000-0005-0000-0000-000025060000}"/>
    <cellStyle name="Accent1 - 20% 3" xfId="1575" xr:uid="{00000000-0005-0000-0000-000026060000}"/>
    <cellStyle name="Accent1 - 40%" xfId="1576" xr:uid="{00000000-0005-0000-0000-000027060000}"/>
    <cellStyle name="Accent1 - 40% 2" xfId="1577" xr:uid="{00000000-0005-0000-0000-000028060000}"/>
    <cellStyle name="Accent1 - 40% 3" xfId="1578" xr:uid="{00000000-0005-0000-0000-000029060000}"/>
    <cellStyle name="Accent1 - 60%" xfId="1579" xr:uid="{00000000-0005-0000-0000-00002A060000}"/>
    <cellStyle name="Accent1 2" xfId="1580" xr:uid="{00000000-0005-0000-0000-00002B060000}"/>
    <cellStyle name="Accent1_02.02 Согласовано Смета АЗС склад  (0002-И-ЦУП ВСТО)" xfId="1581" xr:uid="{00000000-0005-0000-0000-00002C060000}"/>
    <cellStyle name="Accent2" xfId="1582" xr:uid="{00000000-0005-0000-0000-00002D060000}"/>
    <cellStyle name="Accent2 - 20%" xfId="1583" xr:uid="{00000000-0005-0000-0000-00002E060000}"/>
    <cellStyle name="Accent2 - 20% 2" xfId="1584" xr:uid="{00000000-0005-0000-0000-00002F060000}"/>
    <cellStyle name="Accent2 - 20% 3" xfId="1585" xr:uid="{00000000-0005-0000-0000-000030060000}"/>
    <cellStyle name="Accent2 - 40%" xfId="1586" xr:uid="{00000000-0005-0000-0000-000031060000}"/>
    <cellStyle name="Accent2 - 40% 2" xfId="1587" xr:uid="{00000000-0005-0000-0000-000032060000}"/>
    <cellStyle name="Accent2 - 40% 3" xfId="1588" xr:uid="{00000000-0005-0000-0000-000033060000}"/>
    <cellStyle name="Accent2 - 60%" xfId="1589" xr:uid="{00000000-0005-0000-0000-000034060000}"/>
    <cellStyle name="Accent2 2" xfId="1590" xr:uid="{00000000-0005-0000-0000-000035060000}"/>
    <cellStyle name="Accent2_02.02 Согласовано Смета АЗС склад  (0002-И-ЦУП ВСТО)" xfId="1591" xr:uid="{00000000-0005-0000-0000-000036060000}"/>
    <cellStyle name="Accent3" xfId="1592" xr:uid="{00000000-0005-0000-0000-000037060000}"/>
    <cellStyle name="Accent3 - 20%" xfId="1593" xr:uid="{00000000-0005-0000-0000-000038060000}"/>
    <cellStyle name="Accent3 - 20% 2" xfId="1594" xr:uid="{00000000-0005-0000-0000-000039060000}"/>
    <cellStyle name="Accent3 - 20% 3" xfId="1595" xr:uid="{00000000-0005-0000-0000-00003A060000}"/>
    <cellStyle name="Accent3 - 40%" xfId="1596" xr:uid="{00000000-0005-0000-0000-00003B060000}"/>
    <cellStyle name="Accent3 - 40% 2" xfId="1597" xr:uid="{00000000-0005-0000-0000-00003C060000}"/>
    <cellStyle name="Accent3 - 40% 3" xfId="1598" xr:uid="{00000000-0005-0000-0000-00003D060000}"/>
    <cellStyle name="Accent3 - 60%" xfId="1599" xr:uid="{00000000-0005-0000-0000-00003E060000}"/>
    <cellStyle name="Accent3 2" xfId="1600" xr:uid="{00000000-0005-0000-0000-00003F060000}"/>
    <cellStyle name="Accent3_02.02 Согласовано Смета АЗС склад  (0002-И-ЦУП ВСТО)" xfId="1601" xr:uid="{00000000-0005-0000-0000-000040060000}"/>
    <cellStyle name="Accent4" xfId="1602" xr:uid="{00000000-0005-0000-0000-000041060000}"/>
    <cellStyle name="Accent4 - 20%" xfId="1603" xr:uid="{00000000-0005-0000-0000-000042060000}"/>
    <cellStyle name="Accent4 - 20% 2" xfId="1604" xr:uid="{00000000-0005-0000-0000-000043060000}"/>
    <cellStyle name="Accent4 - 20% 3" xfId="1605" xr:uid="{00000000-0005-0000-0000-000044060000}"/>
    <cellStyle name="Accent4 - 40%" xfId="1606" xr:uid="{00000000-0005-0000-0000-000045060000}"/>
    <cellStyle name="Accent4 - 40% 2" xfId="1607" xr:uid="{00000000-0005-0000-0000-000046060000}"/>
    <cellStyle name="Accent4 - 40% 3" xfId="1608" xr:uid="{00000000-0005-0000-0000-000047060000}"/>
    <cellStyle name="Accent4 - 60%" xfId="1609" xr:uid="{00000000-0005-0000-0000-000048060000}"/>
    <cellStyle name="Accent4 2" xfId="1610" xr:uid="{00000000-0005-0000-0000-000049060000}"/>
    <cellStyle name="Accent4_02.02 Согласовано Смета АЗС склад  (0002-И-ЦУП ВСТО)" xfId="1611" xr:uid="{00000000-0005-0000-0000-00004A060000}"/>
    <cellStyle name="Accent5" xfId="1612" xr:uid="{00000000-0005-0000-0000-00004B060000}"/>
    <cellStyle name="Accent5 - 20%" xfId="1613" xr:uid="{00000000-0005-0000-0000-00004C060000}"/>
    <cellStyle name="Accent5 - 20% 2" xfId="1614" xr:uid="{00000000-0005-0000-0000-00004D060000}"/>
    <cellStyle name="Accent5 - 20% 3" xfId="1615" xr:uid="{00000000-0005-0000-0000-00004E060000}"/>
    <cellStyle name="Accent5 - 40%" xfId="1616" xr:uid="{00000000-0005-0000-0000-00004F060000}"/>
    <cellStyle name="Accent5 - 40% 2" xfId="1617" xr:uid="{00000000-0005-0000-0000-000050060000}"/>
    <cellStyle name="Accent5 - 40% 3" xfId="1618" xr:uid="{00000000-0005-0000-0000-000051060000}"/>
    <cellStyle name="Accent5 - 60%" xfId="1619" xr:uid="{00000000-0005-0000-0000-000052060000}"/>
    <cellStyle name="Accent5 2" xfId="1620" xr:uid="{00000000-0005-0000-0000-000053060000}"/>
    <cellStyle name="Accent5_02.02 Согласовано Смета АЗС склад  (0002-И-ЦУП ВСТО)" xfId="1621" xr:uid="{00000000-0005-0000-0000-000054060000}"/>
    <cellStyle name="Accent6" xfId="1622" xr:uid="{00000000-0005-0000-0000-000055060000}"/>
    <cellStyle name="Accent6 - 20%" xfId="1623" xr:uid="{00000000-0005-0000-0000-000056060000}"/>
    <cellStyle name="Accent6 - 20% 2" xfId="1624" xr:uid="{00000000-0005-0000-0000-000057060000}"/>
    <cellStyle name="Accent6 - 20% 3" xfId="1625" xr:uid="{00000000-0005-0000-0000-000058060000}"/>
    <cellStyle name="Accent6 - 40%" xfId="1626" xr:uid="{00000000-0005-0000-0000-000059060000}"/>
    <cellStyle name="Accent6 - 40% 2" xfId="1627" xr:uid="{00000000-0005-0000-0000-00005A060000}"/>
    <cellStyle name="Accent6 - 40% 3" xfId="1628" xr:uid="{00000000-0005-0000-0000-00005B060000}"/>
    <cellStyle name="Accent6 - 60%" xfId="1629" xr:uid="{00000000-0005-0000-0000-00005C060000}"/>
    <cellStyle name="Accent6 2" xfId="1630" xr:uid="{00000000-0005-0000-0000-00005D060000}"/>
    <cellStyle name="Accent6_02.02 Согласовано Смета АЗС склад  (0002-И-ЦУП ВСТО)" xfId="1631" xr:uid="{00000000-0005-0000-0000-00005E060000}"/>
    <cellStyle name="Alilciue [0]" xfId="1632" xr:uid="{00000000-0005-0000-0000-00005F060000}"/>
    <cellStyle name="Bad" xfId="1633" xr:uid="{00000000-0005-0000-0000-000060060000}"/>
    <cellStyle name="Bad 2" xfId="1634" xr:uid="{00000000-0005-0000-0000-000061060000}"/>
    <cellStyle name="Calculated Column - IBM Cognos" xfId="1635" xr:uid="{00000000-0005-0000-0000-000062060000}"/>
    <cellStyle name="Calculated Column Name - IBM Cognos" xfId="1636" xr:uid="{00000000-0005-0000-0000-000063060000}"/>
    <cellStyle name="Calculated Row - IBM Cognos" xfId="1637" xr:uid="{00000000-0005-0000-0000-000064060000}"/>
    <cellStyle name="Calculated Row Name - IBM Cognos" xfId="1638" xr:uid="{00000000-0005-0000-0000-000065060000}"/>
    <cellStyle name="Calculation" xfId="1639" xr:uid="{00000000-0005-0000-0000-000066060000}"/>
    <cellStyle name="Calculation 2" xfId="1640" xr:uid="{00000000-0005-0000-0000-000067060000}"/>
    <cellStyle name="Calculation 3" xfId="1641" xr:uid="{00000000-0005-0000-0000-000068060000}"/>
    <cellStyle name="category" xfId="1642" xr:uid="{00000000-0005-0000-0000-000069060000}"/>
    <cellStyle name="Check Cell" xfId="1643" xr:uid="{00000000-0005-0000-0000-00006A060000}"/>
    <cellStyle name="Check Cell 2" xfId="1644" xr:uid="{00000000-0005-0000-0000-00006B060000}"/>
    <cellStyle name="Column Name - IBM Cognos" xfId="1645" xr:uid="{00000000-0005-0000-0000-00006C060000}"/>
    <cellStyle name="Column Template - IBM Cognos" xfId="1646" xr:uid="{00000000-0005-0000-0000-00006D060000}"/>
    <cellStyle name="Comma [0]" xfId="1647" xr:uid="{00000000-0005-0000-0000-00006E060000}"/>
    <cellStyle name="Comma_03" xfId="1648" xr:uid="{00000000-0005-0000-0000-00006F060000}"/>
    <cellStyle name="Cost" xfId="1649" xr:uid="{00000000-0005-0000-0000-000070060000}"/>
    <cellStyle name="Currency [0]" xfId="1650" xr:uid="{00000000-0005-0000-0000-000071060000}"/>
    <cellStyle name="Currency [0] 2" xfId="1651" xr:uid="{00000000-0005-0000-0000-000072060000}"/>
    <cellStyle name="Currency [0] 2 2" xfId="1652" xr:uid="{00000000-0005-0000-0000-000073060000}"/>
    <cellStyle name="Currency_03" xfId="1653" xr:uid="{00000000-0005-0000-0000-000074060000}"/>
    <cellStyle name="Description_DI 600" xfId="1654" xr:uid="{00000000-0005-0000-0000-000075060000}"/>
    <cellStyle name="Differs From Base - IBM Cognos" xfId="1655" xr:uid="{00000000-0005-0000-0000-000076060000}"/>
    <cellStyle name="done" xfId="1656" xr:uid="{00000000-0005-0000-0000-000077060000}"/>
    <cellStyle name="Emphasis 1" xfId="1657" xr:uid="{00000000-0005-0000-0000-000078060000}"/>
    <cellStyle name="Emphasis 2" xfId="1658" xr:uid="{00000000-0005-0000-0000-000079060000}"/>
    <cellStyle name="Emphasis 3" xfId="1659" xr:uid="{00000000-0005-0000-0000-00007A060000}"/>
    <cellStyle name="Equpment" xfId="1660" xr:uid="{00000000-0005-0000-0000-00007B060000}"/>
    <cellStyle name="Equpment Header" xfId="1661" xr:uid="{00000000-0005-0000-0000-00007C060000}"/>
    <cellStyle name="Equpment_Internet" xfId="1662" xr:uid="{00000000-0005-0000-0000-00007D060000}"/>
    <cellStyle name="Euro" xfId="1663" xr:uid="{00000000-0005-0000-0000-00007E060000}"/>
    <cellStyle name="Euro 10" xfId="1664" xr:uid="{00000000-0005-0000-0000-00007F060000}"/>
    <cellStyle name="Euro 11" xfId="1665" xr:uid="{00000000-0005-0000-0000-000080060000}"/>
    <cellStyle name="Euro 12" xfId="1666" xr:uid="{00000000-0005-0000-0000-000081060000}"/>
    <cellStyle name="Euro 13" xfId="1667" xr:uid="{00000000-0005-0000-0000-000082060000}"/>
    <cellStyle name="Euro 14" xfId="1668" xr:uid="{00000000-0005-0000-0000-000083060000}"/>
    <cellStyle name="Euro 15" xfId="1669" xr:uid="{00000000-0005-0000-0000-000084060000}"/>
    <cellStyle name="Euro 16" xfId="1670" xr:uid="{00000000-0005-0000-0000-000085060000}"/>
    <cellStyle name="Euro 17" xfId="1671" xr:uid="{00000000-0005-0000-0000-000086060000}"/>
    <cellStyle name="Euro 18" xfId="1672" xr:uid="{00000000-0005-0000-0000-000087060000}"/>
    <cellStyle name="Euro 19" xfId="1673" xr:uid="{00000000-0005-0000-0000-000088060000}"/>
    <cellStyle name="Euro 2" xfId="1674" xr:uid="{00000000-0005-0000-0000-000089060000}"/>
    <cellStyle name="Euro 20" xfId="1675" xr:uid="{00000000-0005-0000-0000-00008A060000}"/>
    <cellStyle name="Euro 21" xfId="1676" xr:uid="{00000000-0005-0000-0000-00008B060000}"/>
    <cellStyle name="Euro 3" xfId="1677" xr:uid="{00000000-0005-0000-0000-00008C060000}"/>
    <cellStyle name="Euro 4" xfId="1678" xr:uid="{00000000-0005-0000-0000-00008D060000}"/>
    <cellStyle name="Euro 5" xfId="1679" xr:uid="{00000000-0005-0000-0000-00008E060000}"/>
    <cellStyle name="Euro 6" xfId="1680" xr:uid="{00000000-0005-0000-0000-00008F060000}"/>
    <cellStyle name="Euro 7" xfId="1681" xr:uid="{00000000-0005-0000-0000-000090060000}"/>
    <cellStyle name="Euro 8" xfId="1682" xr:uid="{00000000-0005-0000-0000-000091060000}"/>
    <cellStyle name="Euro 9" xfId="1683" xr:uid="{00000000-0005-0000-0000-000092060000}"/>
    <cellStyle name="Euro_02.02 Согласовано Смета АЗС склад  (0002-И-ЦУП ВСТО)" xfId="1684" xr:uid="{00000000-0005-0000-0000-000093060000}"/>
    <cellStyle name="Explanatory Text" xfId="1685" xr:uid="{00000000-0005-0000-0000-000094060000}"/>
    <cellStyle name="eZ????z_WS_ACER.XLS" xfId="1686" xr:uid="{00000000-0005-0000-0000-000095060000}"/>
    <cellStyle name="Followed Hyperlink_ПНР" xfId="1687" xr:uid="{00000000-0005-0000-0000-000096060000}"/>
    <cellStyle name="Good" xfId="1688" xr:uid="{00000000-0005-0000-0000-000097060000}"/>
    <cellStyle name="Good 2" xfId="1689" xr:uid="{00000000-0005-0000-0000-000098060000}"/>
    <cellStyle name="Grey" xfId="1690" xr:uid="{00000000-0005-0000-0000-000099060000}"/>
    <cellStyle name="GROS" xfId="1691" xr:uid="{00000000-0005-0000-0000-00009A060000}"/>
    <cellStyle name="Group Name - IBM Cognos" xfId="1692" xr:uid="{00000000-0005-0000-0000-00009B060000}"/>
    <cellStyle name="HEADER" xfId="1693" xr:uid="{00000000-0005-0000-0000-00009C060000}"/>
    <cellStyle name="Header1" xfId="1694" xr:uid="{00000000-0005-0000-0000-00009D060000}"/>
    <cellStyle name="Header2" xfId="1695" xr:uid="{00000000-0005-0000-0000-00009E060000}"/>
    <cellStyle name="Heading 1" xfId="1696" xr:uid="{00000000-0005-0000-0000-00009F060000}"/>
    <cellStyle name="Heading 1 2" xfId="1697" xr:uid="{00000000-0005-0000-0000-0000A0060000}"/>
    <cellStyle name="Heading 2" xfId="1698" xr:uid="{00000000-0005-0000-0000-0000A1060000}"/>
    <cellStyle name="Heading 2 2" xfId="1699" xr:uid="{00000000-0005-0000-0000-0000A2060000}"/>
    <cellStyle name="Heading 3" xfId="1700" xr:uid="{00000000-0005-0000-0000-0000A3060000}"/>
    <cellStyle name="Heading 3 2" xfId="1701" xr:uid="{00000000-0005-0000-0000-0000A4060000}"/>
    <cellStyle name="Heading 4" xfId="1702" xr:uid="{00000000-0005-0000-0000-0000A5060000}"/>
    <cellStyle name="Heading 4 2" xfId="1703" xr:uid="{00000000-0005-0000-0000-0000A6060000}"/>
    <cellStyle name="Hold Values - IBM Cognos" xfId="1704" xr:uid="{00000000-0005-0000-0000-0000A7060000}"/>
    <cellStyle name="Hyperlink_ПНР" xfId="1705" xr:uid="{00000000-0005-0000-0000-0000A8060000}"/>
    <cellStyle name="Iau?iue_?iardu1999a" xfId="1706" xr:uid="{00000000-0005-0000-0000-0000A9060000}"/>
    <cellStyle name="Input" xfId="1707" xr:uid="{00000000-0005-0000-0000-0000AA060000}"/>
    <cellStyle name="Input [yellow]" xfId="1708" xr:uid="{00000000-0005-0000-0000-0000AB060000}"/>
    <cellStyle name="Input 2" xfId="1709" xr:uid="{00000000-0005-0000-0000-0000AC060000}"/>
    <cellStyle name="Input 3" xfId="1710" xr:uid="{00000000-0005-0000-0000-0000AD060000}"/>
    <cellStyle name="Input_02.02 Согласовано Смета АЗС склад  (0002-И-ЦУП ВСТО)" xfId="1711" xr:uid="{00000000-0005-0000-0000-0000AE060000}"/>
    <cellStyle name="Komma [0]_laroux" xfId="1712" xr:uid="{00000000-0005-0000-0000-0000AF060000}"/>
    <cellStyle name="Komma_laroux" xfId="1713" xr:uid="{00000000-0005-0000-0000-0000B0060000}"/>
    <cellStyle name="KOP" xfId="1714" xr:uid="{00000000-0005-0000-0000-0000B1060000}"/>
    <cellStyle name="KOP2" xfId="1715" xr:uid="{00000000-0005-0000-0000-0000B2060000}"/>
    <cellStyle name="KOPP" xfId="1716" xr:uid="{00000000-0005-0000-0000-0000B3060000}"/>
    <cellStyle name="Linked Cell" xfId="1717" xr:uid="{00000000-0005-0000-0000-0000B4060000}"/>
    <cellStyle name="Linked Cell 2" xfId="1718" xr:uid="{00000000-0005-0000-0000-0000B5060000}"/>
    <cellStyle name="List Name - IBM Cognos" xfId="1719" xr:uid="{00000000-0005-0000-0000-0000B6060000}"/>
    <cellStyle name="Locked - IBM Cognos" xfId="1720" xr:uid="{00000000-0005-0000-0000-0000B7060000}"/>
    <cellStyle name="Measure - IBM Cognos" xfId="1721" xr:uid="{00000000-0005-0000-0000-0000B8060000}"/>
    <cellStyle name="Measure Header - IBM Cognos" xfId="1722" xr:uid="{00000000-0005-0000-0000-0000B9060000}"/>
    <cellStyle name="Measure Name - IBM Cognos" xfId="1723" xr:uid="{00000000-0005-0000-0000-0000BA060000}"/>
    <cellStyle name="Measure Summary - IBM Cognos" xfId="1724" xr:uid="{00000000-0005-0000-0000-0000BB060000}"/>
    <cellStyle name="Measure Summary TM1 - IBM Cognos" xfId="1725" xr:uid="{00000000-0005-0000-0000-0000BC060000}"/>
    <cellStyle name="Measure Template - IBM Cognos" xfId="1726" xr:uid="{00000000-0005-0000-0000-0000BD060000}"/>
    <cellStyle name="Model" xfId="1727" xr:uid="{00000000-0005-0000-0000-0000BE060000}"/>
    <cellStyle name="More - IBM Cognos" xfId="1728" xr:uid="{00000000-0005-0000-0000-0000BF060000}"/>
    <cellStyle name="Neutral" xfId="1729" xr:uid="{00000000-0005-0000-0000-0000C0060000}"/>
    <cellStyle name="Neutral 2" xfId="1730" xr:uid="{00000000-0005-0000-0000-0000C1060000}"/>
    <cellStyle name="New_DI 600" xfId="1731" xr:uid="{00000000-0005-0000-0000-0000C2060000}"/>
    <cellStyle name="normal" xfId="1732" xr:uid="{00000000-0005-0000-0000-0000C3060000}"/>
    <cellStyle name="Normal - Style1" xfId="1733" xr:uid="{00000000-0005-0000-0000-0000C4060000}"/>
    <cellStyle name="Normal 2" xfId="1734" xr:uid="{00000000-0005-0000-0000-0000C5060000}"/>
    <cellStyle name="Normal 2 2" xfId="1735" xr:uid="{00000000-0005-0000-0000-0000C6060000}"/>
    <cellStyle name="Normal 2 2 2" xfId="1736" xr:uid="{00000000-0005-0000-0000-0000C7060000}"/>
    <cellStyle name="Normal 2 2 2 2" xfId="1737" xr:uid="{00000000-0005-0000-0000-0000C8060000}"/>
    <cellStyle name="Normal 2 2 2 3" xfId="1738" xr:uid="{00000000-0005-0000-0000-0000C9060000}"/>
    <cellStyle name="Normal 2 2 3" xfId="1739" xr:uid="{00000000-0005-0000-0000-0000CA060000}"/>
    <cellStyle name="Normal 2 2 3 2" xfId="1740" xr:uid="{00000000-0005-0000-0000-0000CB060000}"/>
    <cellStyle name="Normal 2 2 3 2 2" xfId="1741" xr:uid="{00000000-0005-0000-0000-0000CC060000}"/>
    <cellStyle name="Normal 2 2 3 2 2 2" xfId="1742" xr:uid="{00000000-0005-0000-0000-0000CD060000}"/>
    <cellStyle name="Normal 2 2 3 2 2 4 2" xfId="1743" xr:uid="{00000000-0005-0000-0000-0000CE060000}"/>
    <cellStyle name="Normal 2 2 3 3" xfId="1744" xr:uid="{00000000-0005-0000-0000-0000CF060000}"/>
    <cellStyle name="Normal 2 2 4" xfId="1745" xr:uid="{00000000-0005-0000-0000-0000D0060000}"/>
    <cellStyle name="Normal 2 2 4 2" xfId="1746" xr:uid="{00000000-0005-0000-0000-0000D1060000}"/>
    <cellStyle name="Normal 2 2 4 3" xfId="1747" xr:uid="{00000000-0005-0000-0000-0000D2060000}"/>
    <cellStyle name="Normal 2 2 5" xfId="1748" xr:uid="{00000000-0005-0000-0000-0000D3060000}"/>
    <cellStyle name="Normal 2 2 6" xfId="1749" xr:uid="{00000000-0005-0000-0000-0000D4060000}"/>
    <cellStyle name="Normal 2 2 7" xfId="1750" xr:uid="{00000000-0005-0000-0000-0000D5060000}"/>
    <cellStyle name="Normal_01" xfId="1751" xr:uid="{00000000-0005-0000-0000-0000D6060000}"/>
    <cellStyle name="Normal1" xfId="1752" xr:uid="{00000000-0005-0000-0000-0000D7060000}"/>
    <cellStyle name="Normalny_R98-010all_rozdz" xfId="1753" xr:uid="{00000000-0005-0000-0000-0000D8060000}"/>
    <cellStyle name="NormalText" xfId="1754" xr:uid="{00000000-0005-0000-0000-0000D9060000}"/>
    <cellStyle name="normбlnм_laroux" xfId="1755" xr:uid="{00000000-0005-0000-0000-0000DA060000}"/>
    <cellStyle name="Note" xfId="1756" xr:uid="{00000000-0005-0000-0000-0000DB060000}"/>
    <cellStyle name="Note 10" xfId="1757" xr:uid="{00000000-0005-0000-0000-0000DC060000}"/>
    <cellStyle name="Note 11" xfId="1758" xr:uid="{00000000-0005-0000-0000-0000DD060000}"/>
    <cellStyle name="Note 2" xfId="1759" xr:uid="{00000000-0005-0000-0000-0000DE060000}"/>
    <cellStyle name="Note 3" xfId="1760" xr:uid="{00000000-0005-0000-0000-0000DF060000}"/>
    <cellStyle name="Note 4" xfId="1761" xr:uid="{00000000-0005-0000-0000-0000E0060000}"/>
    <cellStyle name="Note 5" xfId="1762" xr:uid="{00000000-0005-0000-0000-0000E1060000}"/>
    <cellStyle name="Note 6" xfId="1763" xr:uid="{00000000-0005-0000-0000-0000E2060000}"/>
    <cellStyle name="Note 7" xfId="1764" xr:uid="{00000000-0005-0000-0000-0000E3060000}"/>
    <cellStyle name="Note 8" xfId="1765" xr:uid="{00000000-0005-0000-0000-0000E4060000}"/>
    <cellStyle name="Note 9" xfId="1766" xr:uid="{00000000-0005-0000-0000-0000E5060000}"/>
    <cellStyle name="Note_02.02 Согласовано Смета АЗС склад  (0002-И-ЦУП ВСТО)" xfId="1767" xr:uid="{00000000-0005-0000-0000-0000E6060000}"/>
    <cellStyle name="Nun??c [0]_Ecnn1" xfId="1768" xr:uid="{00000000-0005-0000-0000-0000E7060000}"/>
    <cellStyle name="Nun??c_Ecnn1" xfId="1769" xr:uid="{00000000-0005-0000-0000-0000E8060000}"/>
    <cellStyle name="Ociriniaue [0]" xfId="1770" xr:uid="{00000000-0005-0000-0000-0000E9060000}"/>
    <cellStyle name="Ociriniaue_laroux" xfId="1771" xr:uid="{00000000-0005-0000-0000-0000EA060000}"/>
    <cellStyle name="Oeiainiaue [0]_1 yoa?" xfId="1772" xr:uid="{00000000-0005-0000-0000-0000EB060000}"/>
    <cellStyle name="Oeiainiaue_1 yoa?" xfId="1773" xr:uid="{00000000-0005-0000-0000-0000EC060000}"/>
    <cellStyle name="Ouny?e [0]_SPEC_WAN" xfId="1774" xr:uid="{00000000-0005-0000-0000-0000ED060000}"/>
    <cellStyle name="Ouny?e_SPEC_WAN" xfId="1775" xr:uid="{00000000-0005-0000-0000-0000EE060000}"/>
    <cellStyle name="Output" xfId="1776" xr:uid="{00000000-0005-0000-0000-0000EF060000}"/>
    <cellStyle name="Output 2" xfId="1777" xr:uid="{00000000-0005-0000-0000-0000F0060000}"/>
    <cellStyle name="Pending Change - IBM Cognos" xfId="1778" xr:uid="{00000000-0005-0000-0000-0000F1060000}"/>
    <cellStyle name="Percent [2]" xfId="1779" xr:uid="{00000000-0005-0000-0000-0000F2060000}"/>
    <cellStyle name="Percent [2] 2" xfId="1780" xr:uid="{00000000-0005-0000-0000-0000F3060000}"/>
    <cellStyle name="Price" xfId="1781" xr:uid="{00000000-0005-0000-0000-0000F4060000}"/>
    <cellStyle name="REGEL" xfId="1782" xr:uid="{00000000-0005-0000-0000-0000F5060000}"/>
    <cellStyle name="Row Name - IBM Cognos" xfId="1783" xr:uid="{00000000-0005-0000-0000-0000F6060000}"/>
    <cellStyle name="Row Template - IBM Cognos" xfId="1784" xr:uid="{00000000-0005-0000-0000-0000F7060000}"/>
    <cellStyle name="S0" xfId="1785" xr:uid="{00000000-0005-0000-0000-0000F8060000}"/>
    <cellStyle name="S0 2" xfId="1786" xr:uid="{00000000-0005-0000-0000-0000F9060000}"/>
    <cellStyle name="S0____Смета ПИР 414 км_ТОН-1" xfId="1787" xr:uid="{00000000-0005-0000-0000-0000FA060000}"/>
    <cellStyle name="S1" xfId="1788" xr:uid="{00000000-0005-0000-0000-0000FB060000}"/>
    <cellStyle name="S1 2" xfId="1789" xr:uid="{00000000-0005-0000-0000-0000FC060000}"/>
    <cellStyle name="S1_0002.1-Сметы-ГТП_Артскв. ЛЭС Лугинецкое" xfId="1790" xr:uid="{00000000-0005-0000-0000-0000FD060000}"/>
    <cellStyle name="S10" xfId="1791" xr:uid="{00000000-0005-0000-0000-0000FE060000}"/>
    <cellStyle name="S10 2" xfId="1792" xr:uid="{00000000-0005-0000-0000-0000FF060000}"/>
    <cellStyle name="S10_0002.1-Сметы-ГТП_Артскв. ЛЭС Лугинецкое" xfId="1793" xr:uid="{00000000-0005-0000-0000-000000070000}"/>
    <cellStyle name="S11" xfId="1794" xr:uid="{00000000-0005-0000-0000-000001070000}"/>
    <cellStyle name="S11 2" xfId="1795" xr:uid="{00000000-0005-0000-0000-000002070000}"/>
    <cellStyle name="S11 2 2" xfId="1796" xr:uid="{00000000-0005-0000-0000-000003070000}"/>
    <cellStyle name="S11 3" xfId="1797" xr:uid="{00000000-0005-0000-0000-000004070000}"/>
    <cellStyle name="S12" xfId="1798" xr:uid="{00000000-0005-0000-0000-000005070000}"/>
    <cellStyle name="S12 2" xfId="1799" xr:uid="{00000000-0005-0000-0000-000006070000}"/>
    <cellStyle name="S12_0002.1-Сметы-ГТП_Артскв. ЛЭС Лугинецкое" xfId="1800" xr:uid="{00000000-0005-0000-0000-000007070000}"/>
    <cellStyle name="S13" xfId="1801" xr:uid="{00000000-0005-0000-0000-000008070000}"/>
    <cellStyle name="S13 2" xfId="1802" xr:uid="{00000000-0005-0000-0000-000009070000}"/>
    <cellStyle name="S13 3" xfId="1803" xr:uid="{00000000-0005-0000-0000-00000A070000}"/>
    <cellStyle name="S13_0002.1-Сметы-ГТП_Артскв. ЛЭС Лугинецкое" xfId="1804" xr:uid="{00000000-0005-0000-0000-00000B070000}"/>
    <cellStyle name="S14" xfId="1805" xr:uid="{00000000-0005-0000-0000-00000C070000}"/>
    <cellStyle name="S14 2" xfId="1806" xr:uid="{00000000-0005-0000-0000-00000D070000}"/>
    <cellStyle name="S14 2 2" xfId="1807" xr:uid="{00000000-0005-0000-0000-00000E070000}"/>
    <cellStyle name="S14 3" xfId="1808" xr:uid="{00000000-0005-0000-0000-00000F070000}"/>
    <cellStyle name="S14_РБС ф-1" xfId="1809" xr:uid="{00000000-0005-0000-0000-000010070000}"/>
    <cellStyle name="S15" xfId="1810" xr:uid="{00000000-0005-0000-0000-000011070000}"/>
    <cellStyle name="S15 2" xfId="1811" xr:uid="{00000000-0005-0000-0000-000012070000}"/>
    <cellStyle name="S15_РБС ф-1" xfId="1812" xr:uid="{00000000-0005-0000-0000-000013070000}"/>
    <cellStyle name="S16" xfId="1813" xr:uid="{00000000-0005-0000-0000-000014070000}"/>
    <cellStyle name="S17" xfId="1814" xr:uid="{00000000-0005-0000-0000-000015070000}"/>
    <cellStyle name="S17 2" xfId="1815" xr:uid="{00000000-0005-0000-0000-000016070000}"/>
    <cellStyle name="S17_11096_Внутриплощ дор Пермь" xfId="1816" xr:uid="{00000000-0005-0000-0000-000017070000}"/>
    <cellStyle name="S18" xfId="1817" xr:uid="{00000000-0005-0000-0000-000018070000}"/>
    <cellStyle name="S18 2" xfId="1818" xr:uid="{00000000-0005-0000-0000-000019070000}"/>
    <cellStyle name="S18_11096_Внутриплощ дор Пермь" xfId="1819" xr:uid="{00000000-0005-0000-0000-00001A070000}"/>
    <cellStyle name="S19" xfId="1820" xr:uid="{00000000-0005-0000-0000-00001B070000}"/>
    <cellStyle name="S2" xfId="1821" xr:uid="{00000000-0005-0000-0000-00001C070000}"/>
    <cellStyle name="S2 2" xfId="1822" xr:uid="{00000000-0005-0000-0000-00001D070000}"/>
    <cellStyle name="S2____Смета ПИР 414 км_ТОН-1" xfId="1823" xr:uid="{00000000-0005-0000-0000-00001E070000}"/>
    <cellStyle name="S20" xfId="1824" xr:uid="{00000000-0005-0000-0000-00001F070000}"/>
    <cellStyle name="S21" xfId="1825" xr:uid="{00000000-0005-0000-0000-000020070000}"/>
    <cellStyle name="S22" xfId="1826" xr:uid="{00000000-0005-0000-0000-000021070000}"/>
    <cellStyle name="S3" xfId="1827" xr:uid="{00000000-0005-0000-0000-000022070000}"/>
    <cellStyle name="S3 2" xfId="1828" xr:uid="{00000000-0005-0000-0000-000023070000}"/>
    <cellStyle name="S3____Смета ПИР 414 км_ТОН-1" xfId="1829" xr:uid="{00000000-0005-0000-0000-000024070000}"/>
    <cellStyle name="S4" xfId="1830" xr:uid="{00000000-0005-0000-0000-000025070000}"/>
    <cellStyle name="S4 2" xfId="1831" xr:uid="{00000000-0005-0000-0000-000026070000}"/>
    <cellStyle name="S4____Смета ПИР 414 км_ТОН-1" xfId="1832" xr:uid="{00000000-0005-0000-0000-000027070000}"/>
    <cellStyle name="S5" xfId="1833" xr:uid="{00000000-0005-0000-0000-000028070000}"/>
    <cellStyle name="S5 2" xfId="1834" xr:uid="{00000000-0005-0000-0000-000029070000}"/>
    <cellStyle name="S6" xfId="1835" xr:uid="{00000000-0005-0000-0000-00002A070000}"/>
    <cellStyle name="S6 2" xfId="1836" xr:uid="{00000000-0005-0000-0000-00002B070000}"/>
    <cellStyle name="S6_0002.1-Сметы-ГТП_Артскв. ЛЭС Лугинецкое" xfId="1837" xr:uid="{00000000-0005-0000-0000-00002C070000}"/>
    <cellStyle name="S7" xfId="1838" xr:uid="{00000000-0005-0000-0000-00002D070000}"/>
    <cellStyle name="S7 2" xfId="1839" xr:uid="{00000000-0005-0000-0000-00002E070000}"/>
    <cellStyle name="S7____Смета ПИР 414 км_ТОН-1" xfId="1840" xr:uid="{00000000-0005-0000-0000-00002F070000}"/>
    <cellStyle name="S8" xfId="1841" xr:uid="{00000000-0005-0000-0000-000030070000}"/>
    <cellStyle name="S8 2" xfId="1842" xr:uid="{00000000-0005-0000-0000-000031070000}"/>
    <cellStyle name="S8____Смета ПИР 414 км_ТОН-1" xfId="1843" xr:uid="{00000000-0005-0000-0000-000032070000}"/>
    <cellStyle name="S9" xfId="1844" xr:uid="{00000000-0005-0000-0000-000033070000}"/>
    <cellStyle name="S9 2" xfId="1845" xr:uid="{00000000-0005-0000-0000-000034070000}"/>
    <cellStyle name="S9____Смета ПИР 414 км_ТОН-1" xfId="1846" xr:uid="{00000000-0005-0000-0000-000035070000}"/>
    <cellStyle name="SAPBEXaggData" xfId="1847" xr:uid="{00000000-0005-0000-0000-000036070000}"/>
    <cellStyle name="SAPBEXaggDataEmph" xfId="1848" xr:uid="{00000000-0005-0000-0000-000037070000}"/>
    <cellStyle name="SAPBEXaggItem" xfId="1849" xr:uid="{00000000-0005-0000-0000-000038070000}"/>
    <cellStyle name="SAPBEXaggItemX" xfId="1850" xr:uid="{00000000-0005-0000-0000-000039070000}"/>
    <cellStyle name="SAPBEXchaText" xfId="1851" xr:uid="{00000000-0005-0000-0000-00003A070000}"/>
    <cellStyle name="SAPBEXchaText 2" xfId="1852" xr:uid="{00000000-0005-0000-0000-00003B070000}"/>
    <cellStyle name="SAPBEXchaText 3" xfId="1853" xr:uid="{00000000-0005-0000-0000-00003C070000}"/>
    <cellStyle name="SAPBEXexcBad7" xfId="1854" xr:uid="{00000000-0005-0000-0000-00003D070000}"/>
    <cellStyle name="SAPBEXexcBad8" xfId="1855" xr:uid="{00000000-0005-0000-0000-00003E070000}"/>
    <cellStyle name="SAPBEXexcBad9" xfId="1856" xr:uid="{00000000-0005-0000-0000-00003F070000}"/>
    <cellStyle name="SAPBEXexcCritical4" xfId="1857" xr:uid="{00000000-0005-0000-0000-000040070000}"/>
    <cellStyle name="SAPBEXexcCritical5" xfId="1858" xr:uid="{00000000-0005-0000-0000-000041070000}"/>
    <cellStyle name="SAPBEXexcCritical6" xfId="1859" xr:uid="{00000000-0005-0000-0000-000042070000}"/>
    <cellStyle name="SAPBEXexcGood1" xfId="1860" xr:uid="{00000000-0005-0000-0000-000043070000}"/>
    <cellStyle name="SAPBEXexcGood2" xfId="1861" xr:uid="{00000000-0005-0000-0000-000044070000}"/>
    <cellStyle name="SAPBEXexcGood3" xfId="1862" xr:uid="{00000000-0005-0000-0000-000045070000}"/>
    <cellStyle name="SAPBEXfilterDrill" xfId="1863" xr:uid="{00000000-0005-0000-0000-000046070000}"/>
    <cellStyle name="SAPBEXfilterItem" xfId="1864" xr:uid="{00000000-0005-0000-0000-000047070000}"/>
    <cellStyle name="SAPBEXfilterText" xfId="1865" xr:uid="{00000000-0005-0000-0000-000048070000}"/>
    <cellStyle name="SAPBEXformats" xfId="1866" xr:uid="{00000000-0005-0000-0000-000049070000}"/>
    <cellStyle name="SAPBEXformats 2" xfId="1867" xr:uid="{00000000-0005-0000-0000-00004A070000}"/>
    <cellStyle name="SAPBEXformats 3" xfId="1868" xr:uid="{00000000-0005-0000-0000-00004B070000}"/>
    <cellStyle name="SAPBEXheaderItem" xfId="1869" xr:uid="{00000000-0005-0000-0000-00004C070000}"/>
    <cellStyle name="SAPBEXheaderText" xfId="1870" xr:uid="{00000000-0005-0000-0000-00004D070000}"/>
    <cellStyle name="SAPBEXHLevel0" xfId="1871" xr:uid="{00000000-0005-0000-0000-00004E070000}"/>
    <cellStyle name="SAPBEXHLevel0 2" xfId="1872" xr:uid="{00000000-0005-0000-0000-00004F070000}"/>
    <cellStyle name="SAPBEXHLevel0 3" xfId="1873" xr:uid="{00000000-0005-0000-0000-000050070000}"/>
    <cellStyle name="SAPBEXHLevel0X" xfId="1874" xr:uid="{00000000-0005-0000-0000-000051070000}"/>
    <cellStyle name="SAPBEXHLevel0X 2" xfId="1875" xr:uid="{00000000-0005-0000-0000-000052070000}"/>
    <cellStyle name="SAPBEXHLevel0X 3" xfId="1876" xr:uid="{00000000-0005-0000-0000-000053070000}"/>
    <cellStyle name="SAPBEXHLevel1" xfId="1877" xr:uid="{00000000-0005-0000-0000-000054070000}"/>
    <cellStyle name="SAPBEXHLevel1 2" xfId="1878" xr:uid="{00000000-0005-0000-0000-000055070000}"/>
    <cellStyle name="SAPBEXHLevel1 3" xfId="1879" xr:uid="{00000000-0005-0000-0000-000056070000}"/>
    <cellStyle name="SAPBEXHLevel1X" xfId="1880" xr:uid="{00000000-0005-0000-0000-000057070000}"/>
    <cellStyle name="SAPBEXHLevel1X 2" xfId="1881" xr:uid="{00000000-0005-0000-0000-000058070000}"/>
    <cellStyle name="SAPBEXHLevel1X 3" xfId="1882" xr:uid="{00000000-0005-0000-0000-000059070000}"/>
    <cellStyle name="SAPBEXHLevel2" xfId="1883" xr:uid="{00000000-0005-0000-0000-00005A070000}"/>
    <cellStyle name="SAPBEXHLevel2 2" xfId="1884" xr:uid="{00000000-0005-0000-0000-00005B070000}"/>
    <cellStyle name="SAPBEXHLevel2 3" xfId="1885" xr:uid="{00000000-0005-0000-0000-00005C070000}"/>
    <cellStyle name="SAPBEXHLevel2X" xfId="1886" xr:uid="{00000000-0005-0000-0000-00005D070000}"/>
    <cellStyle name="SAPBEXHLevel2X 2" xfId="1887" xr:uid="{00000000-0005-0000-0000-00005E070000}"/>
    <cellStyle name="SAPBEXHLevel2X 3" xfId="1888" xr:uid="{00000000-0005-0000-0000-00005F070000}"/>
    <cellStyle name="SAPBEXHLevel3" xfId="1889" xr:uid="{00000000-0005-0000-0000-000060070000}"/>
    <cellStyle name="SAPBEXHLevel3 2" xfId="1890" xr:uid="{00000000-0005-0000-0000-000061070000}"/>
    <cellStyle name="SAPBEXHLevel3 3" xfId="1891" xr:uid="{00000000-0005-0000-0000-000062070000}"/>
    <cellStyle name="SAPBEXHLevel3X" xfId="1892" xr:uid="{00000000-0005-0000-0000-000063070000}"/>
    <cellStyle name="SAPBEXHLevel3X 2" xfId="1893" xr:uid="{00000000-0005-0000-0000-000064070000}"/>
    <cellStyle name="SAPBEXHLevel3X 3" xfId="1894" xr:uid="{00000000-0005-0000-0000-000065070000}"/>
    <cellStyle name="SAPBEXresData" xfId="1895" xr:uid="{00000000-0005-0000-0000-000066070000}"/>
    <cellStyle name="SAPBEXresDataEmph" xfId="1896" xr:uid="{00000000-0005-0000-0000-000067070000}"/>
    <cellStyle name="SAPBEXresItem" xfId="1897" xr:uid="{00000000-0005-0000-0000-000068070000}"/>
    <cellStyle name="SAPBEXresItemX" xfId="1898" xr:uid="{00000000-0005-0000-0000-000069070000}"/>
    <cellStyle name="SAPBEXstdData" xfId="1899" xr:uid="{00000000-0005-0000-0000-00006A070000}"/>
    <cellStyle name="SAPBEXstdDataEmph" xfId="1900" xr:uid="{00000000-0005-0000-0000-00006B070000}"/>
    <cellStyle name="SAPBEXstdItem" xfId="1901" xr:uid="{00000000-0005-0000-0000-00006C070000}"/>
    <cellStyle name="SAPBEXstdItem 2" xfId="1902" xr:uid="{00000000-0005-0000-0000-00006D070000}"/>
    <cellStyle name="SAPBEXstdItem 3" xfId="1903" xr:uid="{00000000-0005-0000-0000-00006E070000}"/>
    <cellStyle name="SAPBEXstdItem_1-корр. 2010 ВСНК объекты" xfId="1904" xr:uid="{00000000-0005-0000-0000-00006F070000}"/>
    <cellStyle name="SAPBEXstdItemX" xfId="1905" xr:uid="{00000000-0005-0000-0000-000070070000}"/>
    <cellStyle name="SAPBEXstdItemX 2" xfId="1906" xr:uid="{00000000-0005-0000-0000-000071070000}"/>
    <cellStyle name="SAPBEXstdItemX 3" xfId="1907" xr:uid="{00000000-0005-0000-0000-000072070000}"/>
    <cellStyle name="SAPBEXtitle" xfId="1908" xr:uid="{00000000-0005-0000-0000-000073070000}"/>
    <cellStyle name="SAPBEXundefined" xfId="1909" xr:uid="{00000000-0005-0000-0000-000074070000}"/>
    <cellStyle name="SAPOutput" xfId="1910" xr:uid="{00000000-0005-0000-0000-000075070000}"/>
    <cellStyle name="section" xfId="1911" xr:uid="{00000000-0005-0000-0000-000076070000}"/>
    <cellStyle name="Sheet Title" xfId="1912" xr:uid="{00000000-0005-0000-0000-000077070000}"/>
    <cellStyle name="Standaard_laroux" xfId="1913" xr:uid="{00000000-0005-0000-0000-000078070000}"/>
    <cellStyle name="Standard_OFFERVG2" xfId="1914" xr:uid="{00000000-0005-0000-0000-000079070000}"/>
    <cellStyle name="subhead" xfId="1915" xr:uid="{00000000-0005-0000-0000-00007A070000}"/>
    <cellStyle name="Subtatle" xfId="1916" xr:uid="{00000000-0005-0000-0000-00007B070000}"/>
    <cellStyle name="SubTitle" xfId="1917" xr:uid="{00000000-0005-0000-0000-00007C070000}"/>
    <cellStyle name="Summary Column Name - IBM Cognos" xfId="1918" xr:uid="{00000000-0005-0000-0000-00007D070000}"/>
    <cellStyle name="Summary Column Name TM1 - IBM Cognos" xfId="1919" xr:uid="{00000000-0005-0000-0000-00007E070000}"/>
    <cellStyle name="Summary Row Name - IBM Cognos" xfId="1920" xr:uid="{00000000-0005-0000-0000-00007F070000}"/>
    <cellStyle name="Summary Row Name TM1 - IBM Cognos" xfId="1921" xr:uid="{00000000-0005-0000-0000-000080070000}"/>
    <cellStyle name="Title" xfId="1922" xr:uid="{00000000-0005-0000-0000-000081070000}"/>
    <cellStyle name="Total" xfId="1923" xr:uid="{00000000-0005-0000-0000-000082070000}"/>
    <cellStyle name="Total 2" xfId="1924" xr:uid="{00000000-0005-0000-0000-000083070000}"/>
    <cellStyle name="Total 3" xfId="1925" xr:uid="{00000000-0005-0000-0000-000084070000}"/>
    <cellStyle name="uber" xfId="1926" xr:uid="{00000000-0005-0000-0000-000085070000}"/>
    <cellStyle name="Unit" xfId="1927" xr:uid="{00000000-0005-0000-0000-000086070000}"/>
    <cellStyle name="Unsaved Change - IBM Cognos" xfId="1928" xr:uid="{00000000-0005-0000-0000-000087070000}"/>
    <cellStyle name="Valuta [0]_laroux" xfId="1929" xr:uid="{00000000-0005-0000-0000-000088070000}"/>
    <cellStyle name="Valuta_laroux" xfId="1930" xr:uid="{00000000-0005-0000-0000-000089070000}"/>
    <cellStyle name="Warning Text" xfId="1931" xr:uid="{00000000-0005-0000-0000-00008A070000}"/>
    <cellStyle name="Акт" xfId="1932" xr:uid="{00000000-0005-0000-0000-00008B070000}"/>
    <cellStyle name="Акт 2" xfId="1933" xr:uid="{00000000-0005-0000-0000-00008C070000}"/>
    <cellStyle name="Акт 3" xfId="1934" xr:uid="{00000000-0005-0000-0000-00008D070000}"/>
    <cellStyle name="Акт_3915 ИИР сводная стр-во АЗС №72 12.08.2011" xfId="1935" xr:uid="{00000000-0005-0000-0000-00008E070000}"/>
    <cellStyle name="АктМТСН" xfId="1936" xr:uid="{00000000-0005-0000-0000-00008F070000}"/>
    <cellStyle name="Акцент1 10" xfId="1937" xr:uid="{00000000-0005-0000-0000-000090070000}"/>
    <cellStyle name="Акцент1 11" xfId="1938" xr:uid="{00000000-0005-0000-0000-000091070000}"/>
    <cellStyle name="Акцент1 2" xfId="1939" xr:uid="{00000000-0005-0000-0000-000092070000}"/>
    <cellStyle name="Акцент1 2 2" xfId="1940" xr:uid="{00000000-0005-0000-0000-000093070000}"/>
    <cellStyle name="Акцент1 2 3" xfId="1941" xr:uid="{00000000-0005-0000-0000-000094070000}"/>
    <cellStyle name="Акцент1 2_РБС ф-1" xfId="1942" xr:uid="{00000000-0005-0000-0000-000095070000}"/>
    <cellStyle name="Акцент1 3" xfId="1943" xr:uid="{00000000-0005-0000-0000-000096070000}"/>
    <cellStyle name="Акцент1 4" xfId="1944" xr:uid="{00000000-0005-0000-0000-000097070000}"/>
    <cellStyle name="Акцент1 5" xfId="1945" xr:uid="{00000000-0005-0000-0000-000098070000}"/>
    <cellStyle name="Акцент1 6" xfId="1946" xr:uid="{00000000-0005-0000-0000-000099070000}"/>
    <cellStyle name="Акцент1 7" xfId="1947" xr:uid="{00000000-0005-0000-0000-00009A070000}"/>
    <cellStyle name="Акцент1 8" xfId="1948" xr:uid="{00000000-0005-0000-0000-00009B070000}"/>
    <cellStyle name="Акцент1 9" xfId="1949" xr:uid="{00000000-0005-0000-0000-00009C070000}"/>
    <cellStyle name="Акцент2 10" xfId="1950" xr:uid="{00000000-0005-0000-0000-00009D070000}"/>
    <cellStyle name="Акцент2 11" xfId="1951" xr:uid="{00000000-0005-0000-0000-00009E070000}"/>
    <cellStyle name="Акцент2 2" xfId="1952" xr:uid="{00000000-0005-0000-0000-00009F070000}"/>
    <cellStyle name="Акцент2 2 2" xfId="1953" xr:uid="{00000000-0005-0000-0000-0000A0070000}"/>
    <cellStyle name="Акцент2 2_РБС ф-1" xfId="1954" xr:uid="{00000000-0005-0000-0000-0000A1070000}"/>
    <cellStyle name="Акцент2 3" xfId="1955" xr:uid="{00000000-0005-0000-0000-0000A2070000}"/>
    <cellStyle name="Акцент2 4" xfId="1956" xr:uid="{00000000-0005-0000-0000-0000A3070000}"/>
    <cellStyle name="Акцент2 5" xfId="1957" xr:uid="{00000000-0005-0000-0000-0000A4070000}"/>
    <cellStyle name="Акцент2 6" xfId="1958" xr:uid="{00000000-0005-0000-0000-0000A5070000}"/>
    <cellStyle name="Акцент2 7" xfId="1959" xr:uid="{00000000-0005-0000-0000-0000A6070000}"/>
    <cellStyle name="Акцент2 8" xfId="1960" xr:uid="{00000000-0005-0000-0000-0000A7070000}"/>
    <cellStyle name="Акцент2 9" xfId="1961" xr:uid="{00000000-0005-0000-0000-0000A8070000}"/>
    <cellStyle name="Акцент3 10" xfId="1962" xr:uid="{00000000-0005-0000-0000-0000A9070000}"/>
    <cellStyle name="Акцент3 11" xfId="1963" xr:uid="{00000000-0005-0000-0000-0000AA070000}"/>
    <cellStyle name="Акцент3 2" xfId="1964" xr:uid="{00000000-0005-0000-0000-0000AB070000}"/>
    <cellStyle name="Акцент3 2 2" xfId="1965" xr:uid="{00000000-0005-0000-0000-0000AC070000}"/>
    <cellStyle name="Акцент3 2_РБС ф-1" xfId="1966" xr:uid="{00000000-0005-0000-0000-0000AD070000}"/>
    <cellStyle name="Акцент3 3" xfId="1967" xr:uid="{00000000-0005-0000-0000-0000AE070000}"/>
    <cellStyle name="Акцент3 4" xfId="1968" xr:uid="{00000000-0005-0000-0000-0000AF070000}"/>
    <cellStyle name="Акцент3 5" xfId="1969" xr:uid="{00000000-0005-0000-0000-0000B0070000}"/>
    <cellStyle name="Акцент3 6" xfId="1970" xr:uid="{00000000-0005-0000-0000-0000B1070000}"/>
    <cellStyle name="Акцент3 7" xfId="1971" xr:uid="{00000000-0005-0000-0000-0000B2070000}"/>
    <cellStyle name="Акцент3 8" xfId="1972" xr:uid="{00000000-0005-0000-0000-0000B3070000}"/>
    <cellStyle name="Акцент3 9" xfId="1973" xr:uid="{00000000-0005-0000-0000-0000B4070000}"/>
    <cellStyle name="Акцент4 10" xfId="1974" xr:uid="{00000000-0005-0000-0000-0000B5070000}"/>
    <cellStyle name="Акцент4 11" xfId="1975" xr:uid="{00000000-0005-0000-0000-0000B6070000}"/>
    <cellStyle name="Акцент4 2" xfId="1976" xr:uid="{00000000-0005-0000-0000-0000B7070000}"/>
    <cellStyle name="Акцент4 2 2" xfId="1977" xr:uid="{00000000-0005-0000-0000-0000B8070000}"/>
    <cellStyle name="Акцент4 2_РБС ф-1" xfId="1978" xr:uid="{00000000-0005-0000-0000-0000B9070000}"/>
    <cellStyle name="Акцент4 3" xfId="1979" xr:uid="{00000000-0005-0000-0000-0000BA070000}"/>
    <cellStyle name="Акцент4 4" xfId="1980" xr:uid="{00000000-0005-0000-0000-0000BB070000}"/>
    <cellStyle name="Акцент4 5" xfId="1981" xr:uid="{00000000-0005-0000-0000-0000BC070000}"/>
    <cellStyle name="Акцент4 6" xfId="1982" xr:uid="{00000000-0005-0000-0000-0000BD070000}"/>
    <cellStyle name="Акцент4 7" xfId="1983" xr:uid="{00000000-0005-0000-0000-0000BE070000}"/>
    <cellStyle name="Акцент4 8" xfId="1984" xr:uid="{00000000-0005-0000-0000-0000BF070000}"/>
    <cellStyle name="Акцент4 9" xfId="1985" xr:uid="{00000000-0005-0000-0000-0000C0070000}"/>
    <cellStyle name="Акцент5 10" xfId="1986" xr:uid="{00000000-0005-0000-0000-0000C1070000}"/>
    <cellStyle name="Акцент5 11" xfId="1987" xr:uid="{00000000-0005-0000-0000-0000C2070000}"/>
    <cellStyle name="Акцент5 2" xfId="1988" xr:uid="{00000000-0005-0000-0000-0000C3070000}"/>
    <cellStyle name="Акцент5 2 2" xfId="1989" xr:uid="{00000000-0005-0000-0000-0000C4070000}"/>
    <cellStyle name="Акцент5 2_РБС ф-1" xfId="1990" xr:uid="{00000000-0005-0000-0000-0000C5070000}"/>
    <cellStyle name="Акцент5 3" xfId="1991" xr:uid="{00000000-0005-0000-0000-0000C6070000}"/>
    <cellStyle name="Акцент5 4" xfId="1992" xr:uid="{00000000-0005-0000-0000-0000C7070000}"/>
    <cellStyle name="Акцент5 5" xfId="1993" xr:uid="{00000000-0005-0000-0000-0000C8070000}"/>
    <cellStyle name="Акцент5 6" xfId="1994" xr:uid="{00000000-0005-0000-0000-0000C9070000}"/>
    <cellStyle name="Акцент5 7" xfId="1995" xr:uid="{00000000-0005-0000-0000-0000CA070000}"/>
    <cellStyle name="Акцент5 8" xfId="1996" xr:uid="{00000000-0005-0000-0000-0000CB070000}"/>
    <cellStyle name="Акцент5 9" xfId="1997" xr:uid="{00000000-0005-0000-0000-0000CC070000}"/>
    <cellStyle name="Акцент6 10" xfId="1998" xr:uid="{00000000-0005-0000-0000-0000CD070000}"/>
    <cellStyle name="Акцент6 11" xfId="1999" xr:uid="{00000000-0005-0000-0000-0000CE070000}"/>
    <cellStyle name="Акцент6 2" xfId="2000" xr:uid="{00000000-0005-0000-0000-0000CF070000}"/>
    <cellStyle name="Акцент6 2 2" xfId="2001" xr:uid="{00000000-0005-0000-0000-0000D0070000}"/>
    <cellStyle name="Акцент6 2_РБС ф-1" xfId="2002" xr:uid="{00000000-0005-0000-0000-0000D1070000}"/>
    <cellStyle name="Акцент6 3" xfId="2003" xr:uid="{00000000-0005-0000-0000-0000D2070000}"/>
    <cellStyle name="Акцент6 4" xfId="2004" xr:uid="{00000000-0005-0000-0000-0000D3070000}"/>
    <cellStyle name="Акцент6 5" xfId="2005" xr:uid="{00000000-0005-0000-0000-0000D4070000}"/>
    <cellStyle name="Акцент6 6" xfId="2006" xr:uid="{00000000-0005-0000-0000-0000D5070000}"/>
    <cellStyle name="Акцент6 7" xfId="2007" xr:uid="{00000000-0005-0000-0000-0000D6070000}"/>
    <cellStyle name="Акцент6 8" xfId="2008" xr:uid="{00000000-0005-0000-0000-0000D7070000}"/>
    <cellStyle name="Акцент6 9" xfId="2009" xr:uid="{00000000-0005-0000-0000-0000D8070000}"/>
    <cellStyle name="Ввод  10" xfId="2010" xr:uid="{00000000-0005-0000-0000-0000D9070000}"/>
    <cellStyle name="Ввод  10 2" xfId="2011" xr:uid="{00000000-0005-0000-0000-0000DA070000}"/>
    <cellStyle name="Ввод  11" xfId="2012" xr:uid="{00000000-0005-0000-0000-0000DB070000}"/>
    <cellStyle name="Ввод  11 2" xfId="2013" xr:uid="{00000000-0005-0000-0000-0000DC070000}"/>
    <cellStyle name="Ввод  2" xfId="2014" xr:uid="{00000000-0005-0000-0000-0000DD070000}"/>
    <cellStyle name="Ввод  2 2" xfId="2015" xr:uid="{00000000-0005-0000-0000-0000DE070000}"/>
    <cellStyle name="Ввод  2 2 2" xfId="2016" xr:uid="{00000000-0005-0000-0000-0000DF070000}"/>
    <cellStyle name="Ввод  2 3" xfId="2017" xr:uid="{00000000-0005-0000-0000-0000E0070000}"/>
    <cellStyle name="Ввод  2____Смета ПИР УС_Черниковск_Сист охранная" xfId="2018" xr:uid="{00000000-0005-0000-0000-0000E1070000}"/>
    <cellStyle name="Ввод  3" xfId="2019" xr:uid="{00000000-0005-0000-0000-0000E2070000}"/>
    <cellStyle name="Ввод  3 2" xfId="2020" xr:uid="{00000000-0005-0000-0000-0000E3070000}"/>
    <cellStyle name="Ввод  4" xfId="2021" xr:uid="{00000000-0005-0000-0000-0000E4070000}"/>
    <cellStyle name="Ввод  4 2" xfId="2022" xr:uid="{00000000-0005-0000-0000-0000E5070000}"/>
    <cellStyle name="Ввод  5" xfId="2023" xr:uid="{00000000-0005-0000-0000-0000E6070000}"/>
    <cellStyle name="Ввод  5 2" xfId="2024" xr:uid="{00000000-0005-0000-0000-0000E7070000}"/>
    <cellStyle name="Ввод  6" xfId="2025" xr:uid="{00000000-0005-0000-0000-0000E8070000}"/>
    <cellStyle name="Ввод  6 2" xfId="2026" xr:uid="{00000000-0005-0000-0000-0000E9070000}"/>
    <cellStyle name="Ввод  7" xfId="2027" xr:uid="{00000000-0005-0000-0000-0000EA070000}"/>
    <cellStyle name="Ввод  7 2" xfId="2028" xr:uid="{00000000-0005-0000-0000-0000EB070000}"/>
    <cellStyle name="Ввод  8" xfId="2029" xr:uid="{00000000-0005-0000-0000-0000EC070000}"/>
    <cellStyle name="Ввод  8 2" xfId="2030" xr:uid="{00000000-0005-0000-0000-0000ED070000}"/>
    <cellStyle name="Ввод  9" xfId="2031" xr:uid="{00000000-0005-0000-0000-0000EE070000}"/>
    <cellStyle name="Ввод  9 2" xfId="2032" xr:uid="{00000000-0005-0000-0000-0000EF070000}"/>
    <cellStyle name="ВедРесурсов" xfId="2033" xr:uid="{00000000-0005-0000-0000-0000F0070000}"/>
    <cellStyle name="ВедРесурсов 2" xfId="2034" xr:uid="{00000000-0005-0000-0000-0000F1070000}"/>
    <cellStyle name="ВедРесурсов 3" xfId="2035" xr:uid="{00000000-0005-0000-0000-0000F2070000}"/>
    <cellStyle name="ВедРесурсов_3915 ИИР сводная стр-во АЗС №72 12.08.2011" xfId="2036" xr:uid="{00000000-0005-0000-0000-0000F3070000}"/>
    <cellStyle name="ВедРесурсовАкт" xfId="2037" xr:uid="{00000000-0005-0000-0000-0000F4070000}"/>
    <cellStyle name="Вывод 10" xfId="2038" xr:uid="{00000000-0005-0000-0000-0000F5070000}"/>
    <cellStyle name="Вывод 11" xfId="2039" xr:uid="{00000000-0005-0000-0000-0000F6070000}"/>
    <cellStyle name="Вывод 2" xfId="2040" xr:uid="{00000000-0005-0000-0000-0000F7070000}"/>
    <cellStyle name="Вывод 2 2" xfId="2041" xr:uid="{00000000-0005-0000-0000-0000F8070000}"/>
    <cellStyle name="Вывод 2____Смета ПИР УС_Черниковск_Сист охранная" xfId="2042" xr:uid="{00000000-0005-0000-0000-0000F9070000}"/>
    <cellStyle name="Вывод 3" xfId="2043" xr:uid="{00000000-0005-0000-0000-0000FA070000}"/>
    <cellStyle name="Вывод 4" xfId="2044" xr:uid="{00000000-0005-0000-0000-0000FB070000}"/>
    <cellStyle name="Вывод 5" xfId="2045" xr:uid="{00000000-0005-0000-0000-0000FC070000}"/>
    <cellStyle name="Вывод 6" xfId="2046" xr:uid="{00000000-0005-0000-0000-0000FD070000}"/>
    <cellStyle name="Вывод 7" xfId="2047" xr:uid="{00000000-0005-0000-0000-0000FE070000}"/>
    <cellStyle name="Вывод 8" xfId="2048" xr:uid="{00000000-0005-0000-0000-0000FF070000}"/>
    <cellStyle name="Вывод 9" xfId="2049" xr:uid="{00000000-0005-0000-0000-000000080000}"/>
    <cellStyle name="Вычисление 10" xfId="2050" xr:uid="{00000000-0005-0000-0000-000001080000}"/>
    <cellStyle name="Вычисление 10 2" xfId="2051" xr:uid="{00000000-0005-0000-0000-000002080000}"/>
    <cellStyle name="Вычисление 11" xfId="2052" xr:uid="{00000000-0005-0000-0000-000003080000}"/>
    <cellStyle name="Вычисление 11 2" xfId="2053" xr:uid="{00000000-0005-0000-0000-000004080000}"/>
    <cellStyle name="Вычисление 2" xfId="2054" xr:uid="{00000000-0005-0000-0000-000005080000}"/>
    <cellStyle name="Вычисление 2 2" xfId="2055" xr:uid="{00000000-0005-0000-0000-000006080000}"/>
    <cellStyle name="Вычисление 2 2 2" xfId="2056" xr:uid="{00000000-0005-0000-0000-000007080000}"/>
    <cellStyle name="Вычисление 2 3" xfId="2057" xr:uid="{00000000-0005-0000-0000-000008080000}"/>
    <cellStyle name="Вычисление 2____Смета ПИР УС_Черниковск_Сист охранная" xfId="2058" xr:uid="{00000000-0005-0000-0000-000009080000}"/>
    <cellStyle name="Вычисление 3" xfId="2059" xr:uid="{00000000-0005-0000-0000-00000A080000}"/>
    <cellStyle name="Вычисление 3 2" xfId="2060" xr:uid="{00000000-0005-0000-0000-00000B080000}"/>
    <cellStyle name="Вычисление 4" xfId="2061" xr:uid="{00000000-0005-0000-0000-00000C080000}"/>
    <cellStyle name="Вычисление 4 2" xfId="2062" xr:uid="{00000000-0005-0000-0000-00000D080000}"/>
    <cellStyle name="Вычисление 5" xfId="2063" xr:uid="{00000000-0005-0000-0000-00000E080000}"/>
    <cellStyle name="Вычисление 5 2" xfId="2064" xr:uid="{00000000-0005-0000-0000-00000F080000}"/>
    <cellStyle name="Вычисление 6" xfId="2065" xr:uid="{00000000-0005-0000-0000-000010080000}"/>
    <cellStyle name="Вычисление 6 2" xfId="2066" xr:uid="{00000000-0005-0000-0000-000011080000}"/>
    <cellStyle name="Вычисление 7" xfId="2067" xr:uid="{00000000-0005-0000-0000-000012080000}"/>
    <cellStyle name="Вычисление 7 2" xfId="2068" xr:uid="{00000000-0005-0000-0000-000013080000}"/>
    <cellStyle name="Вычисление 8" xfId="2069" xr:uid="{00000000-0005-0000-0000-000014080000}"/>
    <cellStyle name="Вычисление 8 2" xfId="2070" xr:uid="{00000000-0005-0000-0000-000015080000}"/>
    <cellStyle name="Вычисление 9" xfId="2071" xr:uid="{00000000-0005-0000-0000-000016080000}"/>
    <cellStyle name="Вычисление 9 2" xfId="2072" xr:uid="{00000000-0005-0000-0000-000017080000}"/>
    <cellStyle name="Гиперссылка 2" xfId="2073" xr:uid="{00000000-0005-0000-0000-000018080000}"/>
    <cellStyle name="Гиперссылка 2 2" xfId="2074" xr:uid="{00000000-0005-0000-0000-000019080000}"/>
    <cellStyle name="Гиперссылка 2 3" xfId="2075" xr:uid="{00000000-0005-0000-0000-00001A080000}"/>
    <cellStyle name="Гиперссылка 2 4" xfId="2076" xr:uid="{00000000-0005-0000-0000-00001B080000}"/>
    <cellStyle name="Гиперссылка 2 5" xfId="2077" xr:uid="{00000000-0005-0000-0000-00001C080000}"/>
    <cellStyle name="Гиперссылка 2 6" xfId="2078" xr:uid="{00000000-0005-0000-0000-00001D080000}"/>
    <cellStyle name="Гиперссылка 3" xfId="2079" xr:uid="{00000000-0005-0000-0000-00001E080000}"/>
    <cellStyle name="Гиперссылка 4" xfId="2080" xr:uid="{00000000-0005-0000-0000-00001F080000}"/>
    <cellStyle name="Гиперссылка 5" xfId="2081" xr:uid="{00000000-0005-0000-0000-000020080000}"/>
    <cellStyle name="Гиперссылка 6" xfId="2082" xr:uid="{00000000-0005-0000-0000-000021080000}"/>
    <cellStyle name="ДАТА" xfId="2083" xr:uid="{00000000-0005-0000-0000-000022080000}"/>
    <cellStyle name="Денежный [0] 2" xfId="2084" xr:uid="{00000000-0005-0000-0000-000023080000}"/>
    <cellStyle name="Денежный [0] 2 2" xfId="2085" xr:uid="{00000000-0005-0000-0000-000024080000}"/>
    <cellStyle name="Денежный [0] 2_02.02 Согласовано Смета АЗС склад  (0002-И-ЦУП ВСТО)" xfId="2086" xr:uid="{00000000-0005-0000-0000-000025080000}"/>
    <cellStyle name="Денежный 2" xfId="2087" xr:uid="{00000000-0005-0000-0000-000026080000}"/>
    <cellStyle name="Денежный 3" xfId="2088" xr:uid="{00000000-0005-0000-0000-000027080000}"/>
    <cellStyle name="Денежный 4" xfId="2089" xr:uid="{00000000-0005-0000-0000-000028080000}"/>
    <cellStyle name="Денежный 5" xfId="2090" xr:uid="{00000000-0005-0000-0000-000029080000}"/>
    <cellStyle name="Денежный 6" xfId="2091" xr:uid="{00000000-0005-0000-0000-00002A080000}"/>
    <cellStyle name="Денежный 7" xfId="2092" xr:uid="{00000000-0005-0000-0000-00002B080000}"/>
    <cellStyle name="Денежный 8" xfId="2093" xr:uid="{00000000-0005-0000-0000-00002C080000}"/>
    <cellStyle name="Денежный 9" xfId="2094" xr:uid="{00000000-0005-0000-0000-00002D080000}"/>
    <cellStyle name="Заголовок 1 10" xfId="2095" xr:uid="{00000000-0005-0000-0000-00002E080000}"/>
    <cellStyle name="Заголовок 1 11" xfId="2096" xr:uid="{00000000-0005-0000-0000-00002F080000}"/>
    <cellStyle name="Заголовок 1 2" xfId="2097" xr:uid="{00000000-0005-0000-0000-000030080000}"/>
    <cellStyle name="Заголовок 1 2 2" xfId="2098" xr:uid="{00000000-0005-0000-0000-000031080000}"/>
    <cellStyle name="Заголовок 1 2_08 12  Роснефтьбункер сводная пров ОМ и КЦ++" xfId="2099" xr:uid="{00000000-0005-0000-0000-000032080000}"/>
    <cellStyle name="Заголовок 1 3" xfId="2100" xr:uid="{00000000-0005-0000-0000-000033080000}"/>
    <cellStyle name="Заголовок 1 4" xfId="2101" xr:uid="{00000000-0005-0000-0000-000034080000}"/>
    <cellStyle name="Заголовок 1 5" xfId="2102" xr:uid="{00000000-0005-0000-0000-000035080000}"/>
    <cellStyle name="Заголовок 1 6" xfId="2103" xr:uid="{00000000-0005-0000-0000-000036080000}"/>
    <cellStyle name="Заголовок 1 7" xfId="2104" xr:uid="{00000000-0005-0000-0000-000037080000}"/>
    <cellStyle name="Заголовок 1 8" xfId="2105" xr:uid="{00000000-0005-0000-0000-000038080000}"/>
    <cellStyle name="Заголовок 1 9" xfId="2106" xr:uid="{00000000-0005-0000-0000-000039080000}"/>
    <cellStyle name="Заголовок 2 10" xfId="2107" xr:uid="{00000000-0005-0000-0000-00003A080000}"/>
    <cellStyle name="Заголовок 2 11" xfId="2108" xr:uid="{00000000-0005-0000-0000-00003B080000}"/>
    <cellStyle name="Заголовок 2 2" xfId="2109" xr:uid="{00000000-0005-0000-0000-00003C080000}"/>
    <cellStyle name="Заголовок 2 2 2" xfId="2110" xr:uid="{00000000-0005-0000-0000-00003D080000}"/>
    <cellStyle name="Заголовок 2 2____Смета ПИР УС_Черниковск_Сист охранная" xfId="2111" xr:uid="{00000000-0005-0000-0000-00003E080000}"/>
    <cellStyle name="Заголовок 2 3" xfId="2112" xr:uid="{00000000-0005-0000-0000-00003F080000}"/>
    <cellStyle name="Заголовок 2 4" xfId="2113" xr:uid="{00000000-0005-0000-0000-000040080000}"/>
    <cellStyle name="Заголовок 2 5" xfId="2114" xr:uid="{00000000-0005-0000-0000-000041080000}"/>
    <cellStyle name="Заголовок 2 6" xfId="2115" xr:uid="{00000000-0005-0000-0000-000042080000}"/>
    <cellStyle name="Заголовок 2 7" xfId="2116" xr:uid="{00000000-0005-0000-0000-000043080000}"/>
    <cellStyle name="Заголовок 2 8" xfId="2117" xr:uid="{00000000-0005-0000-0000-000044080000}"/>
    <cellStyle name="Заголовок 2 9" xfId="2118" xr:uid="{00000000-0005-0000-0000-000045080000}"/>
    <cellStyle name="Заголовок 3 10" xfId="2119" xr:uid="{00000000-0005-0000-0000-000046080000}"/>
    <cellStyle name="Заголовок 3 11" xfId="2120" xr:uid="{00000000-0005-0000-0000-000047080000}"/>
    <cellStyle name="Заголовок 3 2" xfId="2121" xr:uid="{00000000-0005-0000-0000-000048080000}"/>
    <cellStyle name="Заголовок 3 2 2" xfId="2122" xr:uid="{00000000-0005-0000-0000-000049080000}"/>
    <cellStyle name="Заголовок 3 2_08 12  Роснефтьбункер сводная пров ОМ и КЦ++" xfId="2123" xr:uid="{00000000-0005-0000-0000-00004A080000}"/>
    <cellStyle name="Заголовок 3 3" xfId="2124" xr:uid="{00000000-0005-0000-0000-00004B080000}"/>
    <cellStyle name="Заголовок 3 4" xfId="2125" xr:uid="{00000000-0005-0000-0000-00004C080000}"/>
    <cellStyle name="Заголовок 3 5" xfId="2126" xr:uid="{00000000-0005-0000-0000-00004D080000}"/>
    <cellStyle name="Заголовок 3 6" xfId="2127" xr:uid="{00000000-0005-0000-0000-00004E080000}"/>
    <cellStyle name="Заголовок 3 7" xfId="2128" xr:uid="{00000000-0005-0000-0000-00004F080000}"/>
    <cellStyle name="Заголовок 3 8" xfId="2129" xr:uid="{00000000-0005-0000-0000-000050080000}"/>
    <cellStyle name="Заголовок 3 9" xfId="2130" xr:uid="{00000000-0005-0000-0000-000051080000}"/>
    <cellStyle name="Заголовок 4 2" xfId="2131" xr:uid="{00000000-0005-0000-0000-000052080000}"/>
    <cellStyle name="Заголовок 4 2 2" xfId="2132" xr:uid="{00000000-0005-0000-0000-000053080000}"/>
    <cellStyle name="Заголовок 4 3" xfId="2133" xr:uid="{00000000-0005-0000-0000-000054080000}"/>
    <cellStyle name="Заголовок 4 4" xfId="2134" xr:uid="{00000000-0005-0000-0000-000055080000}"/>
    <cellStyle name="Заголовок 4 5" xfId="2135" xr:uid="{00000000-0005-0000-0000-000056080000}"/>
    <cellStyle name="Заголовок подраздела таблицы" xfId="2136" xr:uid="{00000000-0005-0000-0000-000057080000}"/>
    <cellStyle name="ЗАГОЛОВОК1" xfId="2137" xr:uid="{00000000-0005-0000-0000-000058080000}"/>
    <cellStyle name="ЗАГОЛОВОК2" xfId="2138" xr:uid="{00000000-0005-0000-0000-000059080000}"/>
    <cellStyle name="Итог 10" xfId="2139" xr:uid="{00000000-0005-0000-0000-00005A080000}"/>
    <cellStyle name="Итог 10 2" xfId="2140" xr:uid="{00000000-0005-0000-0000-00005B080000}"/>
    <cellStyle name="Итог 11" xfId="2141" xr:uid="{00000000-0005-0000-0000-00005C080000}"/>
    <cellStyle name="Итог 11 2" xfId="2142" xr:uid="{00000000-0005-0000-0000-00005D080000}"/>
    <cellStyle name="Итог 2" xfId="2143" xr:uid="{00000000-0005-0000-0000-00005E080000}"/>
    <cellStyle name="Итог 2 2" xfId="2144" xr:uid="{00000000-0005-0000-0000-00005F080000}"/>
    <cellStyle name="Итог 2 2 2" xfId="2145" xr:uid="{00000000-0005-0000-0000-000060080000}"/>
    <cellStyle name="Итог 2 3" xfId="2146" xr:uid="{00000000-0005-0000-0000-000061080000}"/>
    <cellStyle name="Итог 2_08 12  Роснефтьбункер сводная пров ОМ и КЦ++" xfId="2147" xr:uid="{00000000-0005-0000-0000-000062080000}"/>
    <cellStyle name="Итог 3" xfId="2148" xr:uid="{00000000-0005-0000-0000-000063080000}"/>
    <cellStyle name="Итог 3 2" xfId="2149" xr:uid="{00000000-0005-0000-0000-000064080000}"/>
    <cellStyle name="Итог 4" xfId="2150" xr:uid="{00000000-0005-0000-0000-000065080000}"/>
    <cellStyle name="Итог 4 2" xfId="2151" xr:uid="{00000000-0005-0000-0000-000066080000}"/>
    <cellStyle name="Итог 5" xfId="2152" xr:uid="{00000000-0005-0000-0000-000067080000}"/>
    <cellStyle name="Итог 5 2" xfId="2153" xr:uid="{00000000-0005-0000-0000-000068080000}"/>
    <cellStyle name="Итог 6" xfId="2154" xr:uid="{00000000-0005-0000-0000-000069080000}"/>
    <cellStyle name="Итог 6 2" xfId="2155" xr:uid="{00000000-0005-0000-0000-00006A080000}"/>
    <cellStyle name="Итог 7" xfId="2156" xr:uid="{00000000-0005-0000-0000-00006B080000}"/>
    <cellStyle name="Итог 7 2" xfId="2157" xr:uid="{00000000-0005-0000-0000-00006C080000}"/>
    <cellStyle name="Итог 8" xfId="2158" xr:uid="{00000000-0005-0000-0000-00006D080000}"/>
    <cellStyle name="Итог 8 2" xfId="2159" xr:uid="{00000000-0005-0000-0000-00006E080000}"/>
    <cellStyle name="Итог 9" xfId="2160" xr:uid="{00000000-0005-0000-0000-00006F080000}"/>
    <cellStyle name="Итог 9 2" xfId="2161" xr:uid="{00000000-0005-0000-0000-000070080000}"/>
    <cellStyle name="Итоги" xfId="2162" xr:uid="{00000000-0005-0000-0000-000071080000}"/>
    <cellStyle name="ИтогоАктБазЦ" xfId="2163" xr:uid="{00000000-0005-0000-0000-000072080000}"/>
    <cellStyle name="ИтогоАктБИМ" xfId="2164" xr:uid="{00000000-0005-0000-0000-000073080000}"/>
    <cellStyle name="ИтогоАктРесМет" xfId="2165" xr:uid="{00000000-0005-0000-0000-000074080000}"/>
    <cellStyle name="ИтогоАктТекЦ" xfId="2166" xr:uid="{00000000-0005-0000-0000-000075080000}"/>
    <cellStyle name="ИтогоБазЦ" xfId="2167" xr:uid="{00000000-0005-0000-0000-000076080000}"/>
    <cellStyle name="ИтогоБИМ" xfId="2168" xr:uid="{00000000-0005-0000-0000-000077080000}"/>
    <cellStyle name="ИТОГОВЫЙ" xfId="2169" xr:uid="{00000000-0005-0000-0000-000078080000}"/>
    <cellStyle name="ИтогоРесМет" xfId="2170" xr:uid="{00000000-0005-0000-0000-000079080000}"/>
    <cellStyle name="ИтогоТекЦ" xfId="2171" xr:uid="{00000000-0005-0000-0000-00007A080000}"/>
    <cellStyle name="Контрольная ячейка 10" xfId="2172" xr:uid="{00000000-0005-0000-0000-00007B080000}"/>
    <cellStyle name="Контрольная ячейка 11" xfId="2173" xr:uid="{00000000-0005-0000-0000-00007C080000}"/>
    <cellStyle name="Контрольная ячейка 2" xfId="2174" xr:uid="{00000000-0005-0000-0000-00007D080000}"/>
    <cellStyle name="Контрольная ячейка 2 2" xfId="2175" xr:uid="{00000000-0005-0000-0000-00007E080000}"/>
    <cellStyle name="Контрольная ячейка 2____Смета ПИР УС_Черниковск_Сист охранная" xfId="2176" xr:uid="{00000000-0005-0000-0000-00007F080000}"/>
    <cellStyle name="Контрольная ячейка 3" xfId="2177" xr:uid="{00000000-0005-0000-0000-000080080000}"/>
    <cellStyle name="Контрольная ячейка 4" xfId="2178" xr:uid="{00000000-0005-0000-0000-000081080000}"/>
    <cellStyle name="Контрольная ячейка 5" xfId="2179" xr:uid="{00000000-0005-0000-0000-000082080000}"/>
    <cellStyle name="Контрольная ячейка 6" xfId="2180" xr:uid="{00000000-0005-0000-0000-000083080000}"/>
    <cellStyle name="Контрольная ячейка 7" xfId="2181" xr:uid="{00000000-0005-0000-0000-000084080000}"/>
    <cellStyle name="Контрольная ячейка 8" xfId="2182" xr:uid="{00000000-0005-0000-0000-000085080000}"/>
    <cellStyle name="Контрольная ячейка 9" xfId="2183" xr:uid="{00000000-0005-0000-0000-000086080000}"/>
    <cellStyle name="ЛокСмета" xfId="2184" xr:uid="{00000000-0005-0000-0000-000087080000}"/>
    <cellStyle name="ЛокСмета 2" xfId="2185" xr:uid="{00000000-0005-0000-0000-000088080000}"/>
    <cellStyle name="ЛокСмета 3" xfId="2186" xr:uid="{00000000-0005-0000-0000-000089080000}"/>
    <cellStyle name="ЛокСмета_3915 ИИР сводная стр-во АЗС №72 12.08.2011" xfId="2187" xr:uid="{00000000-0005-0000-0000-00008A080000}"/>
    <cellStyle name="ЛокСмМТСН" xfId="2188" xr:uid="{00000000-0005-0000-0000-00008B080000}"/>
    <cellStyle name="М29" xfId="2189" xr:uid="{00000000-0005-0000-0000-00008C080000}"/>
    <cellStyle name="Название 2" xfId="2190" xr:uid="{00000000-0005-0000-0000-00008D080000}"/>
    <cellStyle name="Название 2 2" xfId="2191" xr:uid="{00000000-0005-0000-0000-00008E080000}"/>
    <cellStyle name="Название 3" xfId="2192" xr:uid="{00000000-0005-0000-0000-00008F080000}"/>
    <cellStyle name="Название 4" xfId="2193" xr:uid="{00000000-0005-0000-0000-000090080000}"/>
    <cellStyle name="Название 5" xfId="2194" xr:uid="{00000000-0005-0000-0000-000091080000}"/>
    <cellStyle name="Нейтральный 2" xfId="2195" xr:uid="{00000000-0005-0000-0000-000092080000}"/>
    <cellStyle name="Нейтральный 2 2" xfId="2196" xr:uid="{00000000-0005-0000-0000-000093080000}"/>
    <cellStyle name="Нейтральный 2_РБС ф-1" xfId="2197" xr:uid="{00000000-0005-0000-0000-000094080000}"/>
    <cellStyle name="Нейтральный 3" xfId="2198" xr:uid="{00000000-0005-0000-0000-000095080000}"/>
    <cellStyle name="Нейтральный 4" xfId="2199" xr:uid="{00000000-0005-0000-0000-000096080000}"/>
    <cellStyle name="ОбСмета" xfId="2200" xr:uid="{00000000-0005-0000-0000-000097080000}"/>
    <cellStyle name="ОбСмета 2" xfId="2201" xr:uid="{00000000-0005-0000-0000-000098080000}"/>
    <cellStyle name="Обычный" xfId="0" builtinId="0"/>
    <cellStyle name="Обычный 10" xfId="2202" xr:uid="{00000000-0005-0000-0000-00009A080000}"/>
    <cellStyle name="Обычный 10 10" xfId="2203" xr:uid="{00000000-0005-0000-0000-00009B080000}"/>
    <cellStyle name="Обычный 10 11" xfId="2204" xr:uid="{00000000-0005-0000-0000-00009C080000}"/>
    <cellStyle name="Обычный 10 2" xfId="2205" xr:uid="{00000000-0005-0000-0000-00009D080000}"/>
    <cellStyle name="Обычный 10 2 2" xfId="2206" xr:uid="{00000000-0005-0000-0000-00009E080000}"/>
    <cellStyle name="Обычный 10 2 2 2" xfId="2207" xr:uid="{00000000-0005-0000-0000-00009F080000}"/>
    <cellStyle name="Обычный 10 2 2 5" xfId="2208" xr:uid="{00000000-0005-0000-0000-0000A0080000}"/>
    <cellStyle name="Обычный 10 2 3" xfId="2209" xr:uid="{00000000-0005-0000-0000-0000A1080000}"/>
    <cellStyle name="Обычный 10 3" xfId="2210" xr:uid="{00000000-0005-0000-0000-0000A2080000}"/>
    <cellStyle name="Обычный 10 3 2" xfId="2211" xr:uid="{00000000-0005-0000-0000-0000A3080000}"/>
    <cellStyle name="Обычный 10 4" xfId="2212" xr:uid="{00000000-0005-0000-0000-0000A4080000}"/>
    <cellStyle name="Обычный 10 5" xfId="2213" xr:uid="{00000000-0005-0000-0000-0000A5080000}"/>
    <cellStyle name="Обычный 10 6" xfId="2214" xr:uid="{00000000-0005-0000-0000-0000A6080000}"/>
    <cellStyle name="Обычный 10 7" xfId="2215" xr:uid="{00000000-0005-0000-0000-0000A7080000}"/>
    <cellStyle name="Обычный 10 8" xfId="2216" xr:uid="{00000000-0005-0000-0000-0000A8080000}"/>
    <cellStyle name="Обычный 10 9" xfId="2217" xr:uid="{00000000-0005-0000-0000-0000A9080000}"/>
    <cellStyle name="Обычный 10_3915 ИИР сводная стр-во АЗС №72 12.08.2011" xfId="2218" xr:uid="{00000000-0005-0000-0000-0000AA080000}"/>
    <cellStyle name="Обычный 11" xfId="2219" xr:uid="{00000000-0005-0000-0000-0000AB080000}"/>
    <cellStyle name="Обычный 11 2" xfId="2220" xr:uid="{00000000-0005-0000-0000-0000AC080000}"/>
    <cellStyle name="Обычный 11 2 2" xfId="2221" xr:uid="{00000000-0005-0000-0000-0000AD080000}"/>
    <cellStyle name="Обычный 11 2 2 2 2" xfId="2222" xr:uid="{00000000-0005-0000-0000-0000AE080000}"/>
    <cellStyle name="Обычный 11 2 2 3" xfId="2223" xr:uid="{00000000-0005-0000-0000-0000AF080000}"/>
    <cellStyle name="Обычный 11 3" xfId="2224" xr:uid="{00000000-0005-0000-0000-0000B0080000}"/>
    <cellStyle name="Обычный 11 4" xfId="2225" xr:uid="{00000000-0005-0000-0000-0000B1080000}"/>
    <cellStyle name="Обычный 11 5" xfId="2226" xr:uid="{00000000-0005-0000-0000-0000B2080000}"/>
    <cellStyle name="Обычный 11 6" xfId="2227" xr:uid="{00000000-0005-0000-0000-0000B3080000}"/>
    <cellStyle name="Обычный 11_3915 ИИР сводная стр-во АЗС №72 12.08.2011" xfId="2228" xr:uid="{00000000-0005-0000-0000-0000B4080000}"/>
    <cellStyle name="Обычный 12" xfId="2229" xr:uid="{00000000-0005-0000-0000-0000B5080000}"/>
    <cellStyle name="Обычный 12 2" xfId="2230" xr:uid="{00000000-0005-0000-0000-0000B6080000}"/>
    <cellStyle name="Обычный 12 3" xfId="2231" xr:uid="{00000000-0005-0000-0000-0000B7080000}"/>
    <cellStyle name="Обычный 12 3 10 2 2 2 2 2" xfId="2232" xr:uid="{00000000-0005-0000-0000-0000B8080000}"/>
    <cellStyle name="Обычный 12 4" xfId="2233" xr:uid="{00000000-0005-0000-0000-0000B9080000}"/>
    <cellStyle name="Обычный 12 5" xfId="2234" xr:uid="{00000000-0005-0000-0000-0000BA080000}"/>
    <cellStyle name="Обычный 12 6" xfId="2235" xr:uid="{00000000-0005-0000-0000-0000BB080000}"/>
    <cellStyle name="Обычный 12_Сводная 2010" xfId="2236" xr:uid="{00000000-0005-0000-0000-0000BC080000}"/>
    <cellStyle name="Обычный 13" xfId="2237" xr:uid="{00000000-0005-0000-0000-0000BD080000}"/>
    <cellStyle name="Обычный 13 2" xfId="2238" xr:uid="{00000000-0005-0000-0000-0000BE080000}"/>
    <cellStyle name="Обычный 13 2 2" xfId="2239" xr:uid="{00000000-0005-0000-0000-0000BF080000}"/>
    <cellStyle name="Обычный 13 3" xfId="2240" xr:uid="{00000000-0005-0000-0000-0000C0080000}"/>
    <cellStyle name="Обычный 13 3 2" xfId="2241" xr:uid="{00000000-0005-0000-0000-0000C1080000}"/>
    <cellStyle name="Обычный 13 4" xfId="2242" xr:uid="{00000000-0005-0000-0000-0000C2080000}"/>
    <cellStyle name="Обычный 13 5" xfId="2243" xr:uid="{00000000-0005-0000-0000-0000C3080000}"/>
    <cellStyle name="Обычный 13 6" xfId="2244" xr:uid="{00000000-0005-0000-0000-0000C4080000}"/>
    <cellStyle name="Обычный 13_Вариант с СЗЗ Сметный расчет АЗК 51 ОАО Курск облнефтепродукт" xfId="2245" xr:uid="{00000000-0005-0000-0000-0000C5080000}"/>
    <cellStyle name="Обычный 14" xfId="2246" xr:uid="{00000000-0005-0000-0000-0000C6080000}"/>
    <cellStyle name="Обычный 14 2" xfId="2247" xr:uid="{00000000-0005-0000-0000-0000C7080000}"/>
    <cellStyle name="Обычный 14 3" xfId="2248" xr:uid="{00000000-0005-0000-0000-0000C8080000}"/>
    <cellStyle name="Обычный 14 4" xfId="2249" xr:uid="{00000000-0005-0000-0000-0000C9080000}"/>
    <cellStyle name="Обычный 14 5" xfId="2250" xr:uid="{00000000-0005-0000-0000-0000CA080000}"/>
    <cellStyle name="Обычный 14 6" xfId="2251" xr:uid="{00000000-0005-0000-0000-0000CB080000}"/>
    <cellStyle name="Обычный 15" xfId="2252" xr:uid="{00000000-0005-0000-0000-0000CC080000}"/>
    <cellStyle name="Обычный 15 2" xfId="2253" xr:uid="{00000000-0005-0000-0000-0000CD080000}"/>
    <cellStyle name="Обычный 16" xfId="2254" xr:uid="{00000000-0005-0000-0000-0000CE080000}"/>
    <cellStyle name="Обычный 16 2" xfId="2255" xr:uid="{00000000-0005-0000-0000-0000CF080000}"/>
    <cellStyle name="Обычный 16 3" xfId="2256" xr:uid="{00000000-0005-0000-0000-0000D0080000}"/>
    <cellStyle name="Обычный 16 3 2" xfId="2257" xr:uid="{00000000-0005-0000-0000-0000D1080000}"/>
    <cellStyle name="Обычный 17" xfId="2258" xr:uid="{00000000-0005-0000-0000-0000D2080000}"/>
    <cellStyle name="Обычный 17 2" xfId="2259" xr:uid="{00000000-0005-0000-0000-0000D3080000}"/>
    <cellStyle name="Обычный 18" xfId="2260" xr:uid="{00000000-0005-0000-0000-0000D4080000}"/>
    <cellStyle name="Обычный 18 2" xfId="2261" xr:uid="{00000000-0005-0000-0000-0000D5080000}"/>
    <cellStyle name="Обычный 19" xfId="2262" xr:uid="{00000000-0005-0000-0000-0000D6080000}"/>
    <cellStyle name="Обычный 19 2" xfId="2263" xr:uid="{00000000-0005-0000-0000-0000D7080000}"/>
    <cellStyle name="Обычный 2" xfId="2264" xr:uid="{00000000-0005-0000-0000-0000D8080000}"/>
    <cellStyle name="Обычный 2 10" xfId="2265" xr:uid="{00000000-0005-0000-0000-0000D9080000}"/>
    <cellStyle name="Обычный 2 10 2" xfId="2266" xr:uid="{00000000-0005-0000-0000-0000DA080000}"/>
    <cellStyle name="Обычный 2 10 3" xfId="2267" xr:uid="{00000000-0005-0000-0000-0000DB080000}"/>
    <cellStyle name="Обычный 2 11" xfId="2268" xr:uid="{00000000-0005-0000-0000-0000DC080000}"/>
    <cellStyle name="Обычный 2 11 2" xfId="2269" xr:uid="{00000000-0005-0000-0000-0000DD080000}"/>
    <cellStyle name="Обычный 2 11 3" xfId="2270" xr:uid="{00000000-0005-0000-0000-0000DE080000}"/>
    <cellStyle name="Обычный 2 12" xfId="2271" xr:uid="{00000000-0005-0000-0000-0000DF080000}"/>
    <cellStyle name="Обычный 2 13" xfId="2272" xr:uid="{00000000-0005-0000-0000-0000E0080000}"/>
    <cellStyle name="Обычный 2 14" xfId="2273" xr:uid="{00000000-0005-0000-0000-0000E1080000}"/>
    <cellStyle name="Обычный 2 14 2" xfId="2274" xr:uid="{00000000-0005-0000-0000-0000E2080000}"/>
    <cellStyle name="Обычный 2 15" xfId="2275" xr:uid="{00000000-0005-0000-0000-0000E3080000}"/>
    <cellStyle name="Обычный 2 16" xfId="2276" xr:uid="{00000000-0005-0000-0000-0000E4080000}"/>
    <cellStyle name="Обычный 2 17" xfId="2277" xr:uid="{00000000-0005-0000-0000-0000E5080000}"/>
    <cellStyle name="Обычный 2 18" xfId="2278" xr:uid="{00000000-0005-0000-0000-0000E6080000}"/>
    <cellStyle name="Обычный 2 18 2" xfId="2279" xr:uid="{00000000-0005-0000-0000-0000E7080000}"/>
    <cellStyle name="Обычный 2 19" xfId="2280" xr:uid="{00000000-0005-0000-0000-0000E8080000}"/>
    <cellStyle name="Обычный 2 2" xfId="2281" xr:uid="{00000000-0005-0000-0000-0000E9080000}"/>
    <cellStyle name="Обычный 2 2 11" xfId="2282" xr:uid="{00000000-0005-0000-0000-0000EA080000}"/>
    <cellStyle name="Обычный 2 2 2" xfId="2283" xr:uid="{00000000-0005-0000-0000-0000EB080000}"/>
    <cellStyle name="Обычный 2 2 2 2" xfId="2284" xr:uid="{00000000-0005-0000-0000-0000EC080000}"/>
    <cellStyle name="Обычный 2 2 2 2 2" xfId="2285" xr:uid="{00000000-0005-0000-0000-0000ED080000}"/>
    <cellStyle name="Обычный 2 2 2 3" xfId="2286" xr:uid="{00000000-0005-0000-0000-0000EE080000}"/>
    <cellStyle name="Обычный 2 2 2 4" xfId="2287" xr:uid="{00000000-0005-0000-0000-0000EF080000}"/>
    <cellStyle name="Обычный 2 2 2 5" xfId="2288" xr:uid="{00000000-0005-0000-0000-0000F0080000}"/>
    <cellStyle name="Обычный 2 2 2_3915 ИИР сводная стр-во АЗС №72 12.08.2011" xfId="2289" xr:uid="{00000000-0005-0000-0000-0000F1080000}"/>
    <cellStyle name="Обычный 2 2 3" xfId="2290" xr:uid="{00000000-0005-0000-0000-0000F2080000}"/>
    <cellStyle name="Обычный 2 2 3 2" xfId="2291" xr:uid="{00000000-0005-0000-0000-0000F3080000}"/>
    <cellStyle name="Обычный 2 2 4" xfId="2292" xr:uid="{00000000-0005-0000-0000-0000F4080000}"/>
    <cellStyle name="Обычный 2 2 4 2" xfId="2293" xr:uid="{00000000-0005-0000-0000-0000F5080000}"/>
    <cellStyle name="Обычный 2 2 5" xfId="2294" xr:uid="{00000000-0005-0000-0000-0000F6080000}"/>
    <cellStyle name="Обычный 2 2 6" xfId="2295" xr:uid="{00000000-0005-0000-0000-0000F7080000}"/>
    <cellStyle name="Обычный 2 2 7" xfId="2296" xr:uid="{00000000-0005-0000-0000-0000F8080000}"/>
    <cellStyle name="Обычный 2 2____Смета ПИР 414 км_ТОН-1" xfId="2297" xr:uid="{00000000-0005-0000-0000-0000F9080000}"/>
    <cellStyle name="Обычный 2 20" xfId="2298" xr:uid="{00000000-0005-0000-0000-0000FA080000}"/>
    <cellStyle name="Обычный 2 3" xfId="2299" xr:uid="{00000000-0005-0000-0000-0000FB080000}"/>
    <cellStyle name="Обычный 2 3 2" xfId="2300" xr:uid="{00000000-0005-0000-0000-0000FC080000}"/>
    <cellStyle name="Обычный 2 3 2 2" xfId="2301" xr:uid="{00000000-0005-0000-0000-0000FD080000}"/>
    <cellStyle name="Обычный 2 3 2 2 2" xfId="2302" xr:uid="{00000000-0005-0000-0000-0000FE080000}"/>
    <cellStyle name="Обычный 2 3 2 2 3" xfId="2303" xr:uid="{00000000-0005-0000-0000-0000FF080000}"/>
    <cellStyle name="Обычный 2 3 2 3" xfId="2304" xr:uid="{00000000-0005-0000-0000-000000090000}"/>
    <cellStyle name="Обычный 2 3 3" xfId="2305" xr:uid="{00000000-0005-0000-0000-000001090000}"/>
    <cellStyle name="Обычный 2 3 3 2" xfId="2306" xr:uid="{00000000-0005-0000-0000-000002090000}"/>
    <cellStyle name="Обычный 2 3 4" xfId="2307" xr:uid="{00000000-0005-0000-0000-000003090000}"/>
    <cellStyle name="Обычный 2 3 5" xfId="2308" xr:uid="{00000000-0005-0000-0000-000004090000}"/>
    <cellStyle name="Обычный 2 3 6" xfId="2309" xr:uid="{00000000-0005-0000-0000-000005090000}"/>
    <cellStyle name="Обычный 2 3 7" xfId="2310" xr:uid="{00000000-0005-0000-0000-000006090000}"/>
    <cellStyle name="Обычный 2 3 8" xfId="2311" xr:uid="{00000000-0005-0000-0000-000007090000}"/>
    <cellStyle name="Обычный 2 3____Смета ПИР 414 км_ТОН-1" xfId="2312" xr:uid="{00000000-0005-0000-0000-000008090000}"/>
    <cellStyle name="Обычный 2 4" xfId="2313" xr:uid="{00000000-0005-0000-0000-000009090000}"/>
    <cellStyle name="Обычный 2 4 2" xfId="2314" xr:uid="{00000000-0005-0000-0000-00000A090000}"/>
    <cellStyle name="Обычный 2 4 3" xfId="2315" xr:uid="{00000000-0005-0000-0000-00000B090000}"/>
    <cellStyle name="Обычный 2 4 3 2" xfId="2316" xr:uid="{00000000-0005-0000-0000-00000C090000}"/>
    <cellStyle name="Обычный 2 4 4" xfId="2317" xr:uid="{00000000-0005-0000-0000-00000D090000}"/>
    <cellStyle name="Обычный 2 4 4 2" xfId="2318" xr:uid="{00000000-0005-0000-0000-00000E090000}"/>
    <cellStyle name="Обычный 2 4 4 2 2" xfId="2319" xr:uid="{00000000-0005-0000-0000-00000F090000}"/>
    <cellStyle name="Обычный 2 4 4 3" xfId="2320" xr:uid="{00000000-0005-0000-0000-000010090000}"/>
    <cellStyle name="Обычный 2 4 4 3 2" xfId="2321" xr:uid="{00000000-0005-0000-0000-000011090000}"/>
    <cellStyle name="Обычный 2 4 4 4" xfId="2322" xr:uid="{00000000-0005-0000-0000-000012090000}"/>
    <cellStyle name="Обычный 2 4 4 5" xfId="2323" xr:uid="{00000000-0005-0000-0000-000013090000}"/>
    <cellStyle name="Обычный 2 4 5" xfId="2324" xr:uid="{00000000-0005-0000-0000-000014090000}"/>
    <cellStyle name="Обычный 2 4_3915 ИИР сводная стр-во АЗС №72 12.08.2011" xfId="2325" xr:uid="{00000000-0005-0000-0000-000015090000}"/>
    <cellStyle name="Обычный 2 5" xfId="2326" xr:uid="{00000000-0005-0000-0000-000016090000}"/>
    <cellStyle name="Обычный 2 5 2" xfId="2327" xr:uid="{00000000-0005-0000-0000-000017090000}"/>
    <cellStyle name="Обычный 2 5 3" xfId="2328" xr:uid="{00000000-0005-0000-0000-000018090000}"/>
    <cellStyle name="Обычный 2 5 4" xfId="2329" xr:uid="{00000000-0005-0000-0000-000019090000}"/>
    <cellStyle name="Обычный 2 5 5" xfId="2330" xr:uid="{00000000-0005-0000-0000-00001A090000}"/>
    <cellStyle name="Обычный 2 6" xfId="2331" xr:uid="{00000000-0005-0000-0000-00001B090000}"/>
    <cellStyle name="Обычный 2 6 2" xfId="2332" xr:uid="{00000000-0005-0000-0000-00001C090000}"/>
    <cellStyle name="Обычный 2 6 3" xfId="2333" xr:uid="{00000000-0005-0000-0000-00001D090000}"/>
    <cellStyle name="Обычный 2 6_3915 ИИР сводная стр-во АЗС №72 12.08.2011" xfId="2334" xr:uid="{00000000-0005-0000-0000-00001E090000}"/>
    <cellStyle name="Обычный 2 7" xfId="2335" xr:uid="{00000000-0005-0000-0000-00001F090000}"/>
    <cellStyle name="Обычный 2 7 2" xfId="2336" xr:uid="{00000000-0005-0000-0000-000020090000}"/>
    <cellStyle name="Обычный 2 8" xfId="2337" xr:uid="{00000000-0005-0000-0000-000021090000}"/>
    <cellStyle name="Обычный 2 8 2" xfId="2338" xr:uid="{00000000-0005-0000-0000-000022090000}"/>
    <cellStyle name="Обычный 2 9" xfId="2339" xr:uid="{00000000-0005-0000-0000-000023090000}"/>
    <cellStyle name="Обычный 2 9 2" xfId="2340" xr:uid="{00000000-0005-0000-0000-000024090000}"/>
    <cellStyle name="Обычный 2 9 3" xfId="2341" xr:uid="{00000000-0005-0000-0000-000025090000}"/>
    <cellStyle name="Обычный 2 9 4" xfId="2342" xr:uid="{00000000-0005-0000-0000-000026090000}"/>
    <cellStyle name="Обычный 2____Смета ПИР 414 км_ТОН-1" xfId="2343" xr:uid="{00000000-0005-0000-0000-000027090000}"/>
    <cellStyle name="Обычный 20" xfId="2344" xr:uid="{00000000-0005-0000-0000-000028090000}"/>
    <cellStyle name="Обычный 20 2" xfId="2345" xr:uid="{00000000-0005-0000-0000-000029090000}"/>
    <cellStyle name="Обычный 21" xfId="2346" xr:uid="{00000000-0005-0000-0000-00002A090000}"/>
    <cellStyle name="Обычный 21 2" xfId="2347" xr:uid="{00000000-0005-0000-0000-00002B090000}"/>
    <cellStyle name="Обычный 21 2 2 2 2" xfId="2348" xr:uid="{00000000-0005-0000-0000-00002C090000}"/>
    <cellStyle name="Обычный 21 2 2 2 2 2" xfId="2349" xr:uid="{00000000-0005-0000-0000-00002D090000}"/>
    <cellStyle name="Обычный 21 2 2 2 2 3" xfId="2350" xr:uid="{00000000-0005-0000-0000-00002E090000}"/>
    <cellStyle name="Обычный 21 3 2 2" xfId="2351" xr:uid="{00000000-0005-0000-0000-00002F090000}"/>
    <cellStyle name="Обычный 21 3 2 2 2" xfId="2352" xr:uid="{00000000-0005-0000-0000-000030090000}"/>
    <cellStyle name="Обычный 22" xfId="2353" xr:uid="{00000000-0005-0000-0000-000031090000}"/>
    <cellStyle name="Обычный 23" xfId="2354" xr:uid="{00000000-0005-0000-0000-000032090000}"/>
    <cellStyle name="Обычный 24" xfId="2355" xr:uid="{00000000-0005-0000-0000-000033090000}"/>
    <cellStyle name="Обычный 26" xfId="2356" xr:uid="{00000000-0005-0000-0000-000034090000}"/>
    <cellStyle name="Обычный 3" xfId="2357" xr:uid="{00000000-0005-0000-0000-000035090000}"/>
    <cellStyle name="Обычный 3 10" xfId="2358" xr:uid="{00000000-0005-0000-0000-000036090000}"/>
    <cellStyle name="Обычный 3 10 2" xfId="2359" xr:uid="{00000000-0005-0000-0000-000037090000}"/>
    <cellStyle name="Обычный 3 11" xfId="2360" xr:uid="{00000000-0005-0000-0000-000038090000}"/>
    <cellStyle name="Обычный 3 12" xfId="2361" xr:uid="{00000000-0005-0000-0000-000039090000}"/>
    <cellStyle name="Обычный 3 12 2" xfId="2362" xr:uid="{00000000-0005-0000-0000-00003A090000}"/>
    <cellStyle name="Обычный 3 13" xfId="2363" xr:uid="{00000000-0005-0000-0000-00003B090000}"/>
    <cellStyle name="Обычный 3 14" xfId="2364" xr:uid="{00000000-0005-0000-0000-00003C090000}"/>
    <cellStyle name="Обычный 3 15" xfId="2365" xr:uid="{00000000-0005-0000-0000-00003D090000}"/>
    <cellStyle name="Обычный 3 2" xfId="2366" xr:uid="{00000000-0005-0000-0000-00003E090000}"/>
    <cellStyle name="Обычный 3 2 2" xfId="2367" xr:uid="{00000000-0005-0000-0000-00003F090000}"/>
    <cellStyle name="Обычный 3 2 2 2" xfId="2368" xr:uid="{00000000-0005-0000-0000-000040090000}"/>
    <cellStyle name="Обычный 3 2 2 2 2" xfId="2369" xr:uid="{00000000-0005-0000-0000-000041090000}"/>
    <cellStyle name="Обычный 3 2 2_08 12  Роснефтьбункер сводная пров ОМ и КЦ++" xfId="2370" xr:uid="{00000000-0005-0000-0000-000042090000}"/>
    <cellStyle name="Обычный 3 2 3" xfId="2371" xr:uid="{00000000-0005-0000-0000-000043090000}"/>
    <cellStyle name="Обычный 3 2 3 2" xfId="2372" xr:uid="{00000000-0005-0000-0000-000044090000}"/>
    <cellStyle name="Обычный 3 2 3 2 2" xfId="2373" xr:uid="{00000000-0005-0000-0000-000045090000}"/>
    <cellStyle name="Обычный 3 2 3 3" xfId="2374" xr:uid="{00000000-0005-0000-0000-000046090000}"/>
    <cellStyle name="Обычный 3 2 3_2 Экспертиза ПБ" xfId="2375" xr:uid="{00000000-0005-0000-0000-000047090000}"/>
    <cellStyle name="Обычный 3 2 4" xfId="2376" xr:uid="{00000000-0005-0000-0000-000048090000}"/>
    <cellStyle name="Обычный 3 2 5" xfId="2377" xr:uid="{00000000-0005-0000-0000-000049090000}"/>
    <cellStyle name="Обычный 3 2 6" xfId="2378" xr:uid="{00000000-0005-0000-0000-00004A090000}"/>
    <cellStyle name="Обычный 3 2_++Смета ВЛ 723-752км" xfId="2379" xr:uid="{00000000-0005-0000-0000-00004B090000}"/>
    <cellStyle name="Обычный 3 3" xfId="2380" xr:uid="{00000000-0005-0000-0000-00004C090000}"/>
    <cellStyle name="Обычный 3 3 2" xfId="2381" xr:uid="{00000000-0005-0000-0000-00004D090000}"/>
    <cellStyle name="Обычный 3 3 3" xfId="2382" xr:uid="{00000000-0005-0000-0000-00004E090000}"/>
    <cellStyle name="Обычный 3 4" xfId="2383" xr:uid="{00000000-0005-0000-0000-00004F090000}"/>
    <cellStyle name="Обычный 3 4 2" xfId="2384" xr:uid="{00000000-0005-0000-0000-000050090000}"/>
    <cellStyle name="Обычный 3 5" xfId="2385" xr:uid="{00000000-0005-0000-0000-000051090000}"/>
    <cellStyle name="Обычный 3 5 2" xfId="2386" xr:uid="{00000000-0005-0000-0000-000052090000}"/>
    <cellStyle name="Обычный 3 6" xfId="2387" xr:uid="{00000000-0005-0000-0000-000053090000}"/>
    <cellStyle name="Обычный 3 6 2" xfId="2388" xr:uid="{00000000-0005-0000-0000-000054090000}"/>
    <cellStyle name="Обычный 3 7" xfId="2389" xr:uid="{00000000-0005-0000-0000-000055090000}"/>
    <cellStyle name="Обычный 3 7 2" xfId="2390" xr:uid="{00000000-0005-0000-0000-000056090000}"/>
    <cellStyle name="Обычный 3 8" xfId="2391" xr:uid="{00000000-0005-0000-0000-000057090000}"/>
    <cellStyle name="Обычный 3 8 2" xfId="2392" xr:uid="{00000000-0005-0000-0000-000058090000}"/>
    <cellStyle name="Обычный 3 9" xfId="2393" xr:uid="{00000000-0005-0000-0000-000059090000}"/>
    <cellStyle name="Обычный 3 9 2" xfId="2394" xr:uid="{00000000-0005-0000-0000-00005A090000}"/>
    <cellStyle name="Обычный 3____Смета ПИР 414 км_ТОН-1" xfId="2395" xr:uid="{00000000-0005-0000-0000-00005B090000}"/>
    <cellStyle name="Обычный 39 3" xfId="2396" xr:uid="{00000000-0005-0000-0000-00005C090000}"/>
    <cellStyle name="Обычный 4" xfId="2397" xr:uid="{00000000-0005-0000-0000-00005D090000}"/>
    <cellStyle name="Обычный 4 10" xfId="2398" xr:uid="{00000000-0005-0000-0000-00005E090000}"/>
    <cellStyle name="Обычный 4 11" xfId="2399" xr:uid="{00000000-0005-0000-0000-00005F090000}"/>
    <cellStyle name="Обычный 4 12" xfId="2400" xr:uid="{00000000-0005-0000-0000-000060090000}"/>
    <cellStyle name="Обычный 4 13" xfId="2401" xr:uid="{00000000-0005-0000-0000-000061090000}"/>
    <cellStyle name="Обычный 4 14" xfId="2402" xr:uid="{00000000-0005-0000-0000-000062090000}"/>
    <cellStyle name="Обычный 4 15" xfId="2403" xr:uid="{00000000-0005-0000-0000-000063090000}"/>
    <cellStyle name="Обычный 4 2" xfId="2404" xr:uid="{00000000-0005-0000-0000-000064090000}"/>
    <cellStyle name="Обычный 4 2 2" xfId="2405" xr:uid="{00000000-0005-0000-0000-000065090000}"/>
    <cellStyle name="Обычный 4 2 2 2" xfId="2406" xr:uid="{00000000-0005-0000-0000-000066090000}"/>
    <cellStyle name="Обычный 4 2 3" xfId="2407" xr:uid="{00000000-0005-0000-0000-000067090000}"/>
    <cellStyle name="Обычный 4 2 4" xfId="2408" xr:uid="{00000000-0005-0000-0000-000068090000}"/>
    <cellStyle name="Обычный 4 2 4 2" xfId="2409" xr:uid="{00000000-0005-0000-0000-000069090000}"/>
    <cellStyle name="Обычный 4 3" xfId="2410" xr:uid="{00000000-0005-0000-0000-00006A090000}"/>
    <cellStyle name="Обычный 4 3 2" xfId="2411" xr:uid="{00000000-0005-0000-0000-00006B090000}"/>
    <cellStyle name="Обычный 4 4" xfId="2412" xr:uid="{00000000-0005-0000-0000-00006C090000}"/>
    <cellStyle name="Обычный 4 4 2" xfId="2413" xr:uid="{00000000-0005-0000-0000-00006D090000}"/>
    <cellStyle name="Обычный 4 5" xfId="2414" xr:uid="{00000000-0005-0000-0000-00006E090000}"/>
    <cellStyle name="Обычный 4 5 2" xfId="2415" xr:uid="{00000000-0005-0000-0000-00006F090000}"/>
    <cellStyle name="Обычный 4 6" xfId="2416" xr:uid="{00000000-0005-0000-0000-000070090000}"/>
    <cellStyle name="Обычный 4 6 2" xfId="2417" xr:uid="{00000000-0005-0000-0000-000071090000}"/>
    <cellStyle name="Обычный 4 6 3" xfId="2418" xr:uid="{00000000-0005-0000-0000-000072090000}"/>
    <cellStyle name="Обычный 4 6 3 4" xfId="2419" xr:uid="{00000000-0005-0000-0000-000073090000}"/>
    <cellStyle name="Обычный 4 7" xfId="2420" xr:uid="{00000000-0005-0000-0000-000074090000}"/>
    <cellStyle name="Обычный 4 8" xfId="2421" xr:uid="{00000000-0005-0000-0000-000075090000}"/>
    <cellStyle name="Обычный 4 9" xfId="2422" xr:uid="{00000000-0005-0000-0000-000076090000}"/>
    <cellStyle name="Обычный 4_08 12  Роснефтьбункер сводная пров ОМ и КЦ++" xfId="2423" xr:uid="{00000000-0005-0000-0000-000077090000}"/>
    <cellStyle name="Обычный 5" xfId="2424" xr:uid="{00000000-0005-0000-0000-000078090000}"/>
    <cellStyle name="Обычный 5 10" xfId="2425" xr:uid="{00000000-0005-0000-0000-000079090000}"/>
    <cellStyle name="Обычный 5 11" xfId="2426" xr:uid="{00000000-0005-0000-0000-00007A090000}"/>
    <cellStyle name="Обычный 5 12" xfId="2427" xr:uid="{00000000-0005-0000-0000-00007B090000}"/>
    <cellStyle name="Обычный 5 13" xfId="2428" xr:uid="{00000000-0005-0000-0000-00007C090000}"/>
    <cellStyle name="Обычный 5 14" xfId="2429" xr:uid="{00000000-0005-0000-0000-00007D090000}"/>
    <cellStyle name="Обычный 5 15" xfId="2430" xr:uid="{00000000-0005-0000-0000-00007E090000}"/>
    <cellStyle name="Обычный 5 16" xfId="2431" xr:uid="{00000000-0005-0000-0000-00007F090000}"/>
    <cellStyle name="Обычный 5 17" xfId="2432" xr:uid="{00000000-0005-0000-0000-000080090000}"/>
    <cellStyle name="Обычный 5 18" xfId="2433" xr:uid="{00000000-0005-0000-0000-000081090000}"/>
    <cellStyle name="Обычный 5 2" xfId="2434" xr:uid="{00000000-0005-0000-0000-000082090000}"/>
    <cellStyle name="Обычный 5 3" xfId="2435" xr:uid="{00000000-0005-0000-0000-000083090000}"/>
    <cellStyle name="Обычный 5 4" xfId="2436" xr:uid="{00000000-0005-0000-0000-000084090000}"/>
    <cellStyle name="Обычный 5 5" xfId="2437" xr:uid="{00000000-0005-0000-0000-000085090000}"/>
    <cellStyle name="Обычный 5 6" xfId="2438" xr:uid="{00000000-0005-0000-0000-000086090000}"/>
    <cellStyle name="Обычный 5 7" xfId="2439" xr:uid="{00000000-0005-0000-0000-000087090000}"/>
    <cellStyle name="Обычный 5 8" xfId="2440" xr:uid="{00000000-0005-0000-0000-000088090000}"/>
    <cellStyle name="Обычный 5 9" xfId="2441" xr:uid="{00000000-0005-0000-0000-000089090000}"/>
    <cellStyle name="Обычный 5_Сводная 2010" xfId="2442" xr:uid="{00000000-0005-0000-0000-00008A090000}"/>
    <cellStyle name="Обычный 6" xfId="2443" xr:uid="{00000000-0005-0000-0000-00008B090000}"/>
    <cellStyle name="Обычный 6 10" xfId="2444" xr:uid="{00000000-0005-0000-0000-00008C090000}"/>
    <cellStyle name="Обычный 6 11" xfId="2445" xr:uid="{00000000-0005-0000-0000-00008D090000}"/>
    <cellStyle name="Обычный 6 12" xfId="2446" xr:uid="{00000000-0005-0000-0000-00008E090000}"/>
    <cellStyle name="Обычный 6 13" xfId="2447" xr:uid="{00000000-0005-0000-0000-00008F090000}"/>
    <cellStyle name="Обычный 6 14" xfId="2448" xr:uid="{00000000-0005-0000-0000-000090090000}"/>
    <cellStyle name="Обычный 6 15" xfId="2449" xr:uid="{00000000-0005-0000-0000-000091090000}"/>
    <cellStyle name="Обычный 6 16" xfId="2450" xr:uid="{00000000-0005-0000-0000-000092090000}"/>
    <cellStyle name="Обычный 6 17" xfId="2451" xr:uid="{00000000-0005-0000-0000-000093090000}"/>
    <cellStyle name="Обычный 6 18" xfId="2452" xr:uid="{00000000-0005-0000-0000-000094090000}"/>
    <cellStyle name="Обычный 6 2" xfId="2453" xr:uid="{00000000-0005-0000-0000-000095090000}"/>
    <cellStyle name="Обычный 6 2 2" xfId="2454" xr:uid="{00000000-0005-0000-0000-000096090000}"/>
    <cellStyle name="Обычный 6 3" xfId="2455" xr:uid="{00000000-0005-0000-0000-000097090000}"/>
    <cellStyle name="Обычный 6 4" xfId="2456" xr:uid="{00000000-0005-0000-0000-000098090000}"/>
    <cellStyle name="Обычный 6 5" xfId="2457" xr:uid="{00000000-0005-0000-0000-000099090000}"/>
    <cellStyle name="Обычный 6 6" xfId="2458" xr:uid="{00000000-0005-0000-0000-00009A090000}"/>
    <cellStyle name="Обычный 6 7" xfId="2459" xr:uid="{00000000-0005-0000-0000-00009B090000}"/>
    <cellStyle name="Обычный 6 8" xfId="2460" xr:uid="{00000000-0005-0000-0000-00009C090000}"/>
    <cellStyle name="Обычный 6 9" xfId="2461" xr:uid="{00000000-0005-0000-0000-00009D090000}"/>
    <cellStyle name="Обычный 6_3915 ИИР сводная стр-во АЗС №72 12.08.2011" xfId="2462" xr:uid="{00000000-0005-0000-0000-00009E090000}"/>
    <cellStyle name="Обычный 7" xfId="2463" xr:uid="{00000000-0005-0000-0000-00009F090000}"/>
    <cellStyle name="Обычный 7 2" xfId="2464" xr:uid="{00000000-0005-0000-0000-0000A0090000}"/>
    <cellStyle name="Обычный 7 2 2" xfId="2465" xr:uid="{00000000-0005-0000-0000-0000A1090000}"/>
    <cellStyle name="Обычный 7 3" xfId="2466" xr:uid="{00000000-0005-0000-0000-0000A2090000}"/>
    <cellStyle name="Обычный 7 3 2" xfId="2467" xr:uid="{00000000-0005-0000-0000-0000A3090000}"/>
    <cellStyle name="Обычный 7 4" xfId="2468" xr:uid="{00000000-0005-0000-0000-0000A4090000}"/>
    <cellStyle name="Обычный 7 4 2" xfId="2469" xr:uid="{00000000-0005-0000-0000-0000A5090000}"/>
    <cellStyle name="Обычный 7 5" xfId="2470" xr:uid="{00000000-0005-0000-0000-0000A6090000}"/>
    <cellStyle name="Обычный 7 6" xfId="2471" xr:uid="{00000000-0005-0000-0000-0000A7090000}"/>
    <cellStyle name="Обычный 7 7" xfId="2472" xr:uid="{00000000-0005-0000-0000-0000A8090000}"/>
    <cellStyle name="Обычный 7 8" xfId="2473" xr:uid="{00000000-0005-0000-0000-0000A9090000}"/>
    <cellStyle name="Обычный 8" xfId="2474" xr:uid="{00000000-0005-0000-0000-0000AA090000}"/>
    <cellStyle name="Обычный 8 10" xfId="2475" xr:uid="{00000000-0005-0000-0000-0000AB090000}"/>
    <cellStyle name="Обычный 8 11" xfId="2476" xr:uid="{00000000-0005-0000-0000-0000AC090000}"/>
    <cellStyle name="Обычный 8 12" xfId="2477" xr:uid="{00000000-0005-0000-0000-0000AD090000}"/>
    <cellStyle name="Обычный 8 13" xfId="2478" xr:uid="{00000000-0005-0000-0000-0000AE090000}"/>
    <cellStyle name="Обычный 8 2" xfId="2479" xr:uid="{00000000-0005-0000-0000-0000AF090000}"/>
    <cellStyle name="Обычный 8 2 2" xfId="2480" xr:uid="{00000000-0005-0000-0000-0000B0090000}"/>
    <cellStyle name="Обычный 8 3" xfId="2481" xr:uid="{00000000-0005-0000-0000-0000B1090000}"/>
    <cellStyle name="Обычный 8 3 2" xfId="2482" xr:uid="{00000000-0005-0000-0000-0000B2090000}"/>
    <cellStyle name="Обычный 8 4" xfId="2483" xr:uid="{00000000-0005-0000-0000-0000B3090000}"/>
    <cellStyle name="Обычный 8 5" xfId="2484" xr:uid="{00000000-0005-0000-0000-0000B4090000}"/>
    <cellStyle name="Обычный 8 6" xfId="2485" xr:uid="{00000000-0005-0000-0000-0000B5090000}"/>
    <cellStyle name="Обычный 8 7" xfId="2486" xr:uid="{00000000-0005-0000-0000-0000B6090000}"/>
    <cellStyle name="Обычный 8 8" xfId="2487" xr:uid="{00000000-0005-0000-0000-0000B7090000}"/>
    <cellStyle name="Обычный 8 9" xfId="2488" xr:uid="{00000000-0005-0000-0000-0000B8090000}"/>
    <cellStyle name="Обычный 9" xfId="2489" xr:uid="{00000000-0005-0000-0000-0000B9090000}"/>
    <cellStyle name="Обычный 9 10" xfId="2490" xr:uid="{00000000-0005-0000-0000-0000BA090000}"/>
    <cellStyle name="Обычный 9 11" xfId="2491" xr:uid="{00000000-0005-0000-0000-0000BB090000}"/>
    <cellStyle name="Обычный 9 12" xfId="2492" xr:uid="{00000000-0005-0000-0000-0000BC090000}"/>
    <cellStyle name="Обычный 9 13" xfId="2493" xr:uid="{00000000-0005-0000-0000-0000BD090000}"/>
    <cellStyle name="Обычный 9 14" xfId="2494" xr:uid="{00000000-0005-0000-0000-0000BE090000}"/>
    <cellStyle name="Обычный 9 2" xfId="2495" xr:uid="{00000000-0005-0000-0000-0000BF090000}"/>
    <cellStyle name="Обычный 9 2 2" xfId="2496" xr:uid="{00000000-0005-0000-0000-0000C0090000}"/>
    <cellStyle name="Обычный 9 3" xfId="2497" xr:uid="{00000000-0005-0000-0000-0000C1090000}"/>
    <cellStyle name="Обычный 9 4" xfId="2498" xr:uid="{00000000-0005-0000-0000-0000C2090000}"/>
    <cellStyle name="Обычный 9 5" xfId="2499" xr:uid="{00000000-0005-0000-0000-0000C3090000}"/>
    <cellStyle name="Обычный 9 6" xfId="2500" xr:uid="{00000000-0005-0000-0000-0000C4090000}"/>
    <cellStyle name="Обычный 9 7" xfId="2501" xr:uid="{00000000-0005-0000-0000-0000C5090000}"/>
    <cellStyle name="Обычный 9 8" xfId="2502" xr:uid="{00000000-0005-0000-0000-0000C6090000}"/>
    <cellStyle name="Обычный 9 9" xfId="2503" xr:uid="{00000000-0005-0000-0000-0000C7090000}"/>
    <cellStyle name="Обычный 9_Сводная 2010" xfId="2504" xr:uid="{00000000-0005-0000-0000-0000C8090000}"/>
    <cellStyle name="Параметр" xfId="2505" xr:uid="{00000000-0005-0000-0000-0000C9090000}"/>
    <cellStyle name="ПеременныеСметы" xfId="2506" xr:uid="{00000000-0005-0000-0000-0000CA090000}"/>
    <cellStyle name="ПИР" xfId="2507" xr:uid="{00000000-0005-0000-0000-0000CB090000}"/>
    <cellStyle name="Плохой 2" xfId="2508" xr:uid="{00000000-0005-0000-0000-0000CC090000}"/>
    <cellStyle name="Плохой 2 2" xfId="2509" xr:uid="{00000000-0005-0000-0000-0000CD090000}"/>
    <cellStyle name="Плохой 2_РБС ф-1" xfId="2510" xr:uid="{00000000-0005-0000-0000-0000CE090000}"/>
    <cellStyle name="Плохой 3" xfId="2511" xr:uid="{00000000-0005-0000-0000-0000CF090000}"/>
    <cellStyle name="Плохой 4" xfId="2512" xr:uid="{00000000-0005-0000-0000-0000D0090000}"/>
    <cellStyle name="Пояснение 2" xfId="2513" xr:uid="{00000000-0005-0000-0000-0000D1090000}"/>
    <cellStyle name="Пояснение 2 2" xfId="2514" xr:uid="{00000000-0005-0000-0000-0000D2090000}"/>
    <cellStyle name="Пояснение 3" xfId="2515" xr:uid="{00000000-0005-0000-0000-0000D3090000}"/>
    <cellStyle name="Пояснение 4" xfId="2516" xr:uid="{00000000-0005-0000-0000-0000D4090000}"/>
    <cellStyle name="Примечание 10" xfId="2517" xr:uid="{00000000-0005-0000-0000-0000D5090000}"/>
    <cellStyle name="Примечание 11" xfId="2518" xr:uid="{00000000-0005-0000-0000-0000D6090000}"/>
    <cellStyle name="Примечание 12" xfId="2519" xr:uid="{00000000-0005-0000-0000-0000D7090000}"/>
    <cellStyle name="Примечание 13" xfId="2520" xr:uid="{00000000-0005-0000-0000-0000D8090000}"/>
    <cellStyle name="Примечание 2" xfId="2521" xr:uid="{00000000-0005-0000-0000-0000D9090000}"/>
    <cellStyle name="Примечание 2 2" xfId="2522" xr:uid="{00000000-0005-0000-0000-0000DA090000}"/>
    <cellStyle name="Примечание 2 2 2" xfId="2523" xr:uid="{00000000-0005-0000-0000-0000DB090000}"/>
    <cellStyle name="Примечание 2 3" xfId="2524" xr:uid="{00000000-0005-0000-0000-0000DC090000}"/>
    <cellStyle name="Примечание 2 4" xfId="2525" xr:uid="{00000000-0005-0000-0000-0000DD090000}"/>
    <cellStyle name="Примечание 2 5" xfId="2526" xr:uid="{00000000-0005-0000-0000-0000DE090000}"/>
    <cellStyle name="Примечание 2 6" xfId="2527" xr:uid="{00000000-0005-0000-0000-0000DF090000}"/>
    <cellStyle name="Примечание 2_02.02 Согласовано Смета АЗС склад  (0002-И-ЦУП ВСТО)" xfId="2528" xr:uid="{00000000-0005-0000-0000-0000E0090000}"/>
    <cellStyle name="Примечание 3" xfId="2529" xr:uid="{00000000-0005-0000-0000-0000E1090000}"/>
    <cellStyle name="Примечание 3 2" xfId="2530" xr:uid="{00000000-0005-0000-0000-0000E2090000}"/>
    <cellStyle name="Примечание 3 3" xfId="2531" xr:uid="{00000000-0005-0000-0000-0000E3090000}"/>
    <cellStyle name="Примечание 3 4" xfId="2532" xr:uid="{00000000-0005-0000-0000-0000E4090000}"/>
    <cellStyle name="Примечание 3_02.02 Согласовано Смета АЗС склад  (0002-И-ЦУП ВСТО)" xfId="2533" xr:uid="{00000000-0005-0000-0000-0000E5090000}"/>
    <cellStyle name="Примечание 4" xfId="2534" xr:uid="{00000000-0005-0000-0000-0000E6090000}"/>
    <cellStyle name="Примечание 5" xfId="2535" xr:uid="{00000000-0005-0000-0000-0000E7090000}"/>
    <cellStyle name="Примечание 6" xfId="2536" xr:uid="{00000000-0005-0000-0000-0000E8090000}"/>
    <cellStyle name="Примечание 7" xfId="2537" xr:uid="{00000000-0005-0000-0000-0000E9090000}"/>
    <cellStyle name="Примечание 8" xfId="2538" xr:uid="{00000000-0005-0000-0000-0000EA090000}"/>
    <cellStyle name="Примечание 9" xfId="2539" xr:uid="{00000000-0005-0000-0000-0000EB090000}"/>
    <cellStyle name="Процентный 2" xfId="2540" xr:uid="{00000000-0005-0000-0000-0000EC090000}"/>
    <cellStyle name="Процентный 2 10" xfId="2541" xr:uid="{00000000-0005-0000-0000-0000ED090000}"/>
    <cellStyle name="Процентный 2 10 2" xfId="2542" xr:uid="{00000000-0005-0000-0000-0000EE090000}"/>
    <cellStyle name="Процентный 2 11" xfId="2543" xr:uid="{00000000-0005-0000-0000-0000EF090000}"/>
    <cellStyle name="Процентный 2 12" xfId="2544" xr:uid="{00000000-0005-0000-0000-0000F0090000}"/>
    <cellStyle name="Процентный 2 13" xfId="2545" xr:uid="{00000000-0005-0000-0000-0000F1090000}"/>
    <cellStyle name="Процентный 2 14" xfId="2546" xr:uid="{00000000-0005-0000-0000-0000F2090000}"/>
    <cellStyle name="Процентный 2 15" xfId="2547" xr:uid="{00000000-0005-0000-0000-0000F3090000}"/>
    <cellStyle name="Процентный 2 16" xfId="2548" xr:uid="{00000000-0005-0000-0000-0000F4090000}"/>
    <cellStyle name="Процентный 2 2" xfId="2549" xr:uid="{00000000-0005-0000-0000-0000F5090000}"/>
    <cellStyle name="Процентный 2 2 10" xfId="2550" xr:uid="{00000000-0005-0000-0000-0000F6090000}"/>
    <cellStyle name="Процентный 2 2 11" xfId="2551" xr:uid="{00000000-0005-0000-0000-0000F7090000}"/>
    <cellStyle name="Процентный 2 2 12" xfId="2552" xr:uid="{00000000-0005-0000-0000-0000F8090000}"/>
    <cellStyle name="Процентный 2 2 2" xfId="2553" xr:uid="{00000000-0005-0000-0000-0000F9090000}"/>
    <cellStyle name="Процентный 2 2 2 2" xfId="2554" xr:uid="{00000000-0005-0000-0000-0000FA090000}"/>
    <cellStyle name="Процентный 2 2 3" xfId="2555" xr:uid="{00000000-0005-0000-0000-0000FB090000}"/>
    <cellStyle name="Процентный 2 2 4" xfId="2556" xr:uid="{00000000-0005-0000-0000-0000FC090000}"/>
    <cellStyle name="Процентный 2 2 5" xfId="2557" xr:uid="{00000000-0005-0000-0000-0000FD090000}"/>
    <cellStyle name="Процентный 2 2 6" xfId="2558" xr:uid="{00000000-0005-0000-0000-0000FE090000}"/>
    <cellStyle name="Процентный 2 2 7" xfId="2559" xr:uid="{00000000-0005-0000-0000-0000FF090000}"/>
    <cellStyle name="Процентный 2 2 8" xfId="2560" xr:uid="{00000000-0005-0000-0000-0000000A0000}"/>
    <cellStyle name="Процентный 2 2 9" xfId="2561" xr:uid="{00000000-0005-0000-0000-0000010A0000}"/>
    <cellStyle name="Процентный 2 2_02.02 Согласовано Смета АЗС склад  (0002-И-ЦУП ВСТО)" xfId="2562" xr:uid="{00000000-0005-0000-0000-0000020A0000}"/>
    <cellStyle name="Процентный 2 3" xfId="2563" xr:uid="{00000000-0005-0000-0000-0000030A0000}"/>
    <cellStyle name="Процентный 2 3 10" xfId="2564" xr:uid="{00000000-0005-0000-0000-0000040A0000}"/>
    <cellStyle name="Процентный 2 3 2" xfId="2565" xr:uid="{00000000-0005-0000-0000-0000050A0000}"/>
    <cellStyle name="Процентный 2 3 3" xfId="2566" xr:uid="{00000000-0005-0000-0000-0000060A0000}"/>
    <cellStyle name="Процентный 2 3 4" xfId="2567" xr:uid="{00000000-0005-0000-0000-0000070A0000}"/>
    <cellStyle name="Процентный 2 3 5" xfId="2568" xr:uid="{00000000-0005-0000-0000-0000080A0000}"/>
    <cellStyle name="Процентный 2 3 6" xfId="2569" xr:uid="{00000000-0005-0000-0000-0000090A0000}"/>
    <cellStyle name="Процентный 2 3 7" xfId="2570" xr:uid="{00000000-0005-0000-0000-00000A0A0000}"/>
    <cellStyle name="Процентный 2 3 8" xfId="2571" xr:uid="{00000000-0005-0000-0000-00000B0A0000}"/>
    <cellStyle name="Процентный 2 3 9" xfId="2572" xr:uid="{00000000-0005-0000-0000-00000C0A0000}"/>
    <cellStyle name="Процентный 2 3_02.02 Согласовано Смета АЗС склад  (0002-И-ЦУП ВСТО)" xfId="2573" xr:uid="{00000000-0005-0000-0000-00000D0A0000}"/>
    <cellStyle name="Процентный 2 4" xfId="2574" xr:uid="{00000000-0005-0000-0000-00000E0A0000}"/>
    <cellStyle name="Процентный 2 4 10" xfId="2575" xr:uid="{00000000-0005-0000-0000-00000F0A0000}"/>
    <cellStyle name="Процентный 2 4 2" xfId="2576" xr:uid="{00000000-0005-0000-0000-0000100A0000}"/>
    <cellStyle name="Процентный 2 4 3" xfId="2577" xr:uid="{00000000-0005-0000-0000-0000110A0000}"/>
    <cellStyle name="Процентный 2 4 4" xfId="2578" xr:uid="{00000000-0005-0000-0000-0000120A0000}"/>
    <cellStyle name="Процентный 2 4 5" xfId="2579" xr:uid="{00000000-0005-0000-0000-0000130A0000}"/>
    <cellStyle name="Процентный 2 4 6" xfId="2580" xr:uid="{00000000-0005-0000-0000-0000140A0000}"/>
    <cellStyle name="Процентный 2 4 7" xfId="2581" xr:uid="{00000000-0005-0000-0000-0000150A0000}"/>
    <cellStyle name="Процентный 2 4 8" xfId="2582" xr:uid="{00000000-0005-0000-0000-0000160A0000}"/>
    <cellStyle name="Процентный 2 4 9" xfId="2583" xr:uid="{00000000-0005-0000-0000-0000170A0000}"/>
    <cellStyle name="Процентный 2 4_02.02 Согласовано Смета АЗС склад  (0002-И-ЦУП ВСТО)" xfId="2584" xr:uid="{00000000-0005-0000-0000-0000180A0000}"/>
    <cellStyle name="Процентный 2 5" xfId="2585" xr:uid="{00000000-0005-0000-0000-0000190A0000}"/>
    <cellStyle name="Процентный 2 6" xfId="2586" xr:uid="{00000000-0005-0000-0000-00001A0A0000}"/>
    <cellStyle name="Процентный 2 7" xfId="2587" xr:uid="{00000000-0005-0000-0000-00001B0A0000}"/>
    <cellStyle name="Процентный 2 8" xfId="2588" xr:uid="{00000000-0005-0000-0000-00001C0A0000}"/>
    <cellStyle name="Процентный 2 9" xfId="2589" xr:uid="{00000000-0005-0000-0000-00001D0A0000}"/>
    <cellStyle name="Процентный 2_02.02 Согласовано Смета АЗС склад  (0002-И-ЦУП ВСТО)" xfId="2590" xr:uid="{00000000-0005-0000-0000-00001E0A0000}"/>
    <cellStyle name="Процентный 3" xfId="2591" xr:uid="{00000000-0005-0000-0000-00001F0A0000}"/>
    <cellStyle name="Процентный 3 10" xfId="2592" xr:uid="{00000000-0005-0000-0000-0000200A0000}"/>
    <cellStyle name="Процентный 3 2" xfId="2593" xr:uid="{00000000-0005-0000-0000-0000210A0000}"/>
    <cellStyle name="Процентный 3 3" xfId="2594" xr:uid="{00000000-0005-0000-0000-0000220A0000}"/>
    <cellStyle name="Процентный 3 4" xfId="2595" xr:uid="{00000000-0005-0000-0000-0000230A0000}"/>
    <cellStyle name="Процентный 3 5" xfId="2596" xr:uid="{00000000-0005-0000-0000-0000240A0000}"/>
    <cellStyle name="Процентный 3 6" xfId="2597" xr:uid="{00000000-0005-0000-0000-0000250A0000}"/>
    <cellStyle name="Процентный 3 7" xfId="2598" xr:uid="{00000000-0005-0000-0000-0000260A0000}"/>
    <cellStyle name="Процентный 3 8" xfId="2599" xr:uid="{00000000-0005-0000-0000-0000270A0000}"/>
    <cellStyle name="Процентный 3 9" xfId="2600" xr:uid="{00000000-0005-0000-0000-0000280A0000}"/>
    <cellStyle name="Процентный 3_02.02 Согласовано Смета АЗС склад  (0002-И-ЦУП ВСТО)" xfId="2601" xr:uid="{00000000-0005-0000-0000-0000290A0000}"/>
    <cellStyle name="Процентный 4" xfId="2602" xr:uid="{00000000-0005-0000-0000-00002A0A0000}"/>
    <cellStyle name="Процентный 4 2" xfId="2603" xr:uid="{00000000-0005-0000-0000-00002B0A0000}"/>
    <cellStyle name="Процентный 4 3" xfId="2604" xr:uid="{00000000-0005-0000-0000-00002C0A0000}"/>
    <cellStyle name="Процентный 4 4" xfId="2605" xr:uid="{00000000-0005-0000-0000-00002D0A0000}"/>
    <cellStyle name="Процентный 4 5" xfId="2606" xr:uid="{00000000-0005-0000-0000-00002E0A0000}"/>
    <cellStyle name="Процентный 4 6" xfId="2607" xr:uid="{00000000-0005-0000-0000-00002F0A0000}"/>
    <cellStyle name="Процентный 4 7" xfId="2608" xr:uid="{00000000-0005-0000-0000-0000300A0000}"/>
    <cellStyle name="Процентный 4 8" xfId="2609" xr:uid="{00000000-0005-0000-0000-0000310A0000}"/>
    <cellStyle name="Процентный 4 9" xfId="2610" xr:uid="{00000000-0005-0000-0000-0000320A0000}"/>
    <cellStyle name="Процентный 4_02.02 Согласовано Смета АЗС склад  (0002-И-ЦУП ВСТО)" xfId="2611" xr:uid="{00000000-0005-0000-0000-0000330A0000}"/>
    <cellStyle name="Процентный 5" xfId="2612" xr:uid="{00000000-0005-0000-0000-0000340A0000}"/>
    <cellStyle name="Процентный 5 2" xfId="2613" xr:uid="{00000000-0005-0000-0000-0000350A0000}"/>
    <cellStyle name="Процентный 5 3" xfId="2614" xr:uid="{00000000-0005-0000-0000-0000360A0000}"/>
    <cellStyle name="Процентный 5 4" xfId="2615" xr:uid="{00000000-0005-0000-0000-0000370A0000}"/>
    <cellStyle name="Процентный 5 5" xfId="2616" xr:uid="{00000000-0005-0000-0000-0000380A0000}"/>
    <cellStyle name="Процентный 5 6" xfId="2617" xr:uid="{00000000-0005-0000-0000-0000390A0000}"/>
    <cellStyle name="Процентный 5 7" xfId="2618" xr:uid="{00000000-0005-0000-0000-00003A0A0000}"/>
    <cellStyle name="Процентный 5 8" xfId="2619" xr:uid="{00000000-0005-0000-0000-00003B0A0000}"/>
    <cellStyle name="Процентный 5 9" xfId="2620" xr:uid="{00000000-0005-0000-0000-00003C0A0000}"/>
    <cellStyle name="Процентный 5_02.02 Согласовано Смета АЗС склад  (0002-И-ЦУП ВСТО)" xfId="2621" xr:uid="{00000000-0005-0000-0000-00003D0A0000}"/>
    <cellStyle name="Процентный 6" xfId="2622" xr:uid="{00000000-0005-0000-0000-00003E0A0000}"/>
    <cellStyle name="Процентный 6 2" xfId="2623" xr:uid="{00000000-0005-0000-0000-00003F0A0000}"/>
    <cellStyle name="Процентный 6_02.02 Согласовано Смета АЗС склад  (0002-И-ЦУП ВСТО)" xfId="2624" xr:uid="{00000000-0005-0000-0000-0000400A0000}"/>
    <cellStyle name="Процентный 7" xfId="2625" xr:uid="{00000000-0005-0000-0000-0000410A0000}"/>
    <cellStyle name="Процентный 7 2" xfId="2626" xr:uid="{00000000-0005-0000-0000-0000420A0000}"/>
    <cellStyle name="Процентный 8" xfId="2627" xr:uid="{00000000-0005-0000-0000-0000430A0000}"/>
    <cellStyle name="РесСмета" xfId="2628" xr:uid="{00000000-0005-0000-0000-0000440A0000}"/>
    <cellStyle name="РесСмета 2" xfId="2629" xr:uid="{00000000-0005-0000-0000-0000450A0000}"/>
    <cellStyle name="РесСмета 3" xfId="2630" xr:uid="{00000000-0005-0000-0000-0000460A0000}"/>
    <cellStyle name="РесСмета_3915 ИИР сводная стр-во АЗС №72 12.08.2011" xfId="2631" xr:uid="{00000000-0005-0000-0000-0000470A0000}"/>
    <cellStyle name="СводкаСтоимРаб" xfId="2632" xr:uid="{00000000-0005-0000-0000-0000480A0000}"/>
    <cellStyle name="СводРасч" xfId="2633" xr:uid="{00000000-0005-0000-0000-0000490A0000}"/>
    <cellStyle name="СводРасч 2" xfId="2634" xr:uid="{00000000-0005-0000-0000-00004A0A0000}"/>
    <cellStyle name="Связанная ячейка 2" xfId="2635" xr:uid="{00000000-0005-0000-0000-00004B0A0000}"/>
    <cellStyle name="Связанная ячейка 2 2" xfId="2636" xr:uid="{00000000-0005-0000-0000-00004C0A0000}"/>
    <cellStyle name="Связанная ячейка 2____Смета ПИР УС_Черниковск_Сист охранная" xfId="2637" xr:uid="{00000000-0005-0000-0000-00004D0A0000}"/>
    <cellStyle name="Связанная ячейка 3" xfId="2638" xr:uid="{00000000-0005-0000-0000-00004E0A0000}"/>
    <cellStyle name="Связанная ячейка 4" xfId="2639" xr:uid="{00000000-0005-0000-0000-00004F0A0000}"/>
    <cellStyle name="Список ресурсов" xfId="2640" xr:uid="{00000000-0005-0000-0000-0000500A0000}"/>
    <cellStyle name="Стиль 1" xfId="2641" xr:uid="{00000000-0005-0000-0000-0000510A0000}"/>
    <cellStyle name="Стиль 1 10" xfId="2642" xr:uid="{00000000-0005-0000-0000-0000520A0000}"/>
    <cellStyle name="Стиль 1 10 2" xfId="2643" xr:uid="{00000000-0005-0000-0000-0000530A0000}"/>
    <cellStyle name="Стиль 1 11" xfId="2644" xr:uid="{00000000-0005-0000-0000-0000540A0000}"/>
    <cellStyle name="Стиль 1 11 2" xfId="2645" xr:uid="{00000000-0005-0000-0000-0000550A0000}"/>
    <cellStyle name="Стиль 1 12" xfId="2646" xr:uid="{00000000-0005-0000-0000-0000560A0000}"/>
    <cellStyle name="Стиль 1 12 2" xfId="2647" xr:uid="{00000000-0005-0000-0000-0000570A0000}"/>
    <cellStyle name="Стиль 1 13" xfId="2648" xr:uid="{00000000-0005-0000-0000-0000580A0000}"/>
    <cellStyle name="Стиль 1 13 2" xfId="2649" xr:uid="{00000000-0005-0000-0000-0000590A0000}"/>
    <cellStyle name="Стиль 1 14" xfId="2650" xr:uid="{00000000-0005-0000-0000-00005A0A0000}"/>
    <cellStyle name="Стиль 1 14 2" xfId="2651" xr:uid="{00000000-0005-0000-0000-00005B0A0000}"/>
    <cellStyle name="Стиль 1 15" xfId="2652" xr:uid="{00000000-0005-0000-0000-00005C0A0000}"/>
    <cellStyle name="Стиль 1 15 2" xfId="2653" xr:uid="{00000000-0005-0000-0000-00005D0A0000}"/>
    <cellStyle name="Стиль 1 16" xfId="2654" xr:uid="{00000000-0005-0000-0000-00005E0A0000}"/>
    <cellStyle name="Стиль 1 16 2" xfId="2655" xr:uid="{00000000-0005-0000-0000-00005F0A0000}"/>
    <cellStyle name="Стиль 1 17" xfId="2656" xr:uid="{00000000-0005-0000-0000-0000600A0000}"/>
    <cellStyle name="Стиль 1 17 2" xfId="2657" xr:uid="{00000000-0005-0000-0000-0000610A0000}"/>
    <cellStyle name="Стиль 1 18" xfId="2658" xr:uid="{00000000-0005-0000-0000-0000620A0000}"/>
    <cellStyle name="Стиль 1 2" xfId="2659" xr:uid="{00000000-0005-0000-0000-0000630A0000}"/>
    <cellStyle name="Стиль 1 2 2" xfId="2660" xr:uid="{00000000-0005-0000-0000-0000640A0000}"/>
    <cellStyle name="Стиль 1 3" xfId="2661" xr:uid="{00000000-0005-0000-0000-0000650A0000}"/>
    <cellStyle name="Стиль 1 3 2" xfId="2662" xr:uid="{00000000-0005-0000-0000-0000660A0000}"/>
    <cellStyle name="Стиль 1 4" xfId="2663" xr:uid="{00000000-0005-0000-0000-0000670A0000}"/>
    <cellStyle name="Стиль 1 4 2" xfId="2664" xr:uid="{00000000-0005-0000-0000-0000680A0000}"/>
    <cellStyle name="Стиль 1 5" xfId="2665" xr:uid="{00000000-0005-0000-0000-0000690A0000}"/>
    <cellStyle name="Стиль 1 5 2" xfId="2666" xr:uid="{00000000-0005-0000-0000-00006A0A0000}"/>
    <cellStyle name="Стиль 1 6" xfId="2667" xr:uid="{00000000-0005-0000-0000-00006B0A0000}"/>
    <cellStyle name="Стиль 1 6 2" xfId="2668" xr:uid="{00000000-0005-0000-0000-00006C0A0000}"/>
    <cellStyle name="Стиль 1 7" xfId="2669" xr:uid="{00000000-0005-0000-0000-00006D0A0000}"/>
    <cellStyle name="Стиль 1 7 2" xfId="2670" xr:uid="{00000000-0005-0000-0000-00006E0A0000}"/>
    <cellStyle name="Стиль 1 8" xfId="2671" xr:uid="{00000000-0005-0000-0000-00006F0A0000}"/>
    <cellStyle name="Стиль 1 8 2" xfId="2672" xr:uid="{00000000-0005-0000-0000-0000700A0000}"/>
    <cellStyle name="Стиль 1 9" xfId="2673" xr:uid="{00000000-0005-0000-0000-0000710A0000}"/>
    <cellStyle name="Стиль 1 9 2" xfId="2674" xr:uid="{00000000-0005-0000-0000-0000720A0000}"/>
    <cellStyle name="Стиль 1____Смета ПИР 414 км_ТОН-1" xfId="2675" xr:uid="{00000000-0005-0000-0000-0000730A0000}"/>
    <cellStyle name="Стиль_названий" xfId="2676" xr:uid="{00000000-0005-0000-0000-0000740A0000}"/>
    <cellStyle name="ТЕКСТ" xfId="2677" xr:uid="{00000000-0005-0000-0000-0000750A0000}"/>
    <cellStyle name="Текст предупреждения 2" xfId="2678" xr:uid="{00000000-0005-0000-0000-0000760A0000}"/>
    <cellStyle name="Текст предупреждения 2 2" xfId="2679" xr:uid="{00000000-0005-0000-0000-0000770A0000}"/>
    <cellStyle name="Текст предупреждения 3" xfId="2680" xr:uid="{00000000-0005-0000-0000-0000780A0000}"/>
    <cellStyle name="Текст предупреждения 4" xfId="2681" xr:uid="{00000000-0005-0000-0000-0000790A0000}"/>
    <cellStyle name="Титул" xfId="2682" xr:uid="{00000000-0005-0000-0000-00007A0A0000}"/>
    <cellStyle name="Тысячи [0]_01.01.98" xfId="2683" xr:uid="{00000000-0005-0000-0000-00007B0A0000}"/>
    <cellStyle name="Тысячи_01.01.98" xfId="2684" xr:uid="{00000000-0005-0000-0000-00007C0A0000}"/>
    <cellStyle name="ФИКСИРОВАННЫЙ" xfId="2685" xr:uid="{00000000-0005-0000-0000-00007D0A0000}"/>
    <cellStyle name="Финансовый [0] 2" xfId="2686" xr:uid="{00000000-0005-0000-0000-00007E0A0000}"/>
    <cellStyle name="Финансовый 10" xfId="2687" xr:uid="{00000000-0005-0000-0000-00007F0A0000}"/>
    <cellStyle name="Финансовый 11" xfId="2688" xr:uid="{00000000-0005-0000-0000-0000800A0000}"/>
    <cellStyle name="Финансовый 11 2" xfId="2689" xr:uid="{00000000-0005-0000-0000-0000810A0000}"/>
    <cellStyle name="Финансовый 12" xfId="2690" xr:uid="{00000000-0005-0000-0000-0000820A0000}"/>
    <cellStyle name="Финансовый 12 2" xfId="2691" xr:uid="{00000000-0005-0000-0000-0000830A0000}"/>
    <cellStyle name="Финансовый 13" xfId="2692" xr:uid="{00000000-0005-0000-0000-0000840A0000}"/>
    <cellStyle name="Финансовый 13 2" xfId="2693" xr:uid="{00000000-0005-0000-0000-0000850A0000}"/>
    <cellStyle name="Финансовый 14" xfId="2694" xr:uid="{00000000-0005-0000-0000-0000860A0000}"/>
    <cellStyle name="Финансовый 15" xfId="2695" xr:uid="{00000000-0005-0000-0000-0000870A0000}"/>
    <cellStyle name="Финансовый 16" xfId="2696" xr:uid="{00000000-0005-0000-0000-0000880A0000}"/>
    <cellStyle name="Финансовый 17" xfId="2697" xr:uid="{00000000-0005-0000-0000-0000890A0000}"/>
    <cellStyle name="Финансовый 18" xfId="2698" xr:uid="{00000000-0005-0000-0000-00008A0A0000}"/>
    <cellStyle name="Финансовый 19" xfId="2699" xr:uid="{00000000-0005-0000-0000-00008B0A0000}"/>
    <cellStyle name="Финансовый 19 2" xfId="2700" xr:uid="{00000000-0005-0000-0000-00008C0A0000}"/>
    <cellStyle name="Финансовый 2" xfId="2701" xr:uid="{00000000-0005-0000-0000-00008D0A0000}"/>
    <cellStyle name="Финансовый 2 10" xfId="2702" xr:uid="{00000000-0005-0000-0000-00008E0A0000}"/>
    <cellStyle name="Финансовый 2 10 2" xfId="2703" xr:uid="{00000000-0005-0000-0000-00008F0A0000}"/>
    <cellStyle name="Финансовый 2 10_форма 2 - изм4+" xfId="2704" xr:uid="{00000000-0005-0000-0000-0000900A0000}"/>
    <cellStyle name="Финансовый 2 11" xfId="2705" xr:uid="{00000000-0005-0000-0000-0000910A0000}"/>
    <cellStyle name="Финансовый 2 12" xfId="2706" xr:uid="{00000000-0005-0000-0000-0000920A0000}"/>
    <cellStyle name="Финансовый 2 13" xfId="2707" xr:uid="{00000000-0005-0000-0000-0000930A0000}"/>
    <cellStyle name="Финансовый 2 14" xfId="2708" xr:uid="{00000000-0005-0000-0000-0000940A0000}"/>
    <cellStyle name="Финансовый 2 15" xfId="2709" xr:uid="{00000000-0005-0000-0000-0000950A0000}"/>
    <cellStyle name="Финансовый 2 16" xfId="2710" xr:uid="{00000000-0005-0000-0000-0000960A0000}"/>
    <cellStyle name="Финансовый 2 2" xfId="2711" xr:uid="{00000000-0005-0000-0000-0000970A0000}"/>
    <cellStyle name="Финансовый 2 2 10" xfId="2712" xr:uid="{00000000-0005-0000-0000-0000980A0000}"/>
    <cellStyle name="Финансовый 2 2 10 2" xfId="2713" xr:uid="{00000000-0005-0000-0000-0000990A0000}"/>
    <cellStyle name="Финансовый 2 2 11" xfId="2714" xr:uid="{00000000-0005-0000-0000-00009A0A0000}"/>
    <cellStyle name="Финансовый 2 2 12" xfId="2715" xr:uid="{00000000-0005-0000-0000-00009B0A0000}"/>
    <cellStyle name="Финансовый 2 2 2" xfId="2716" xr:uid="{00000000-0005-0000-0000-00009C0A0000}"/>
    <cellStyle name="Финансовый 2 2 3" xfId="2717" xr:uid="{00000000-0005-0000-0000-00009D0A0000}"/>
    <cellStyle name="Финансовый 2 2 4" xfId="2718" xr:uid="{00000000-0005-0000-0000-00009E0A0000}"/>
    <cellStyle name="Финансовый 2 2 5" xfId="2719" xr:uid="{00000000-0005-0000-0000-00009F0A0000}"/>
    <cellStyle name="Финансовый 2 2 6" xfId="2720" xr:uid="{00000000-0005-0000-0000-0000A00A0000}"/>
    <cellStyle name="Финансовый 2 2 7" xfId="2721" xr:uid="{00000000-0005-0000-0000-0000A10A0000}"/>
    <cellStyle name="Финансовый 2 2 8" xfId="2722" xr:uid="{00000000-0005-0000-0000-0000A20A0000}"/>
    <cellStyle name="Финансовый 2 2 9" xfId="2723" xr:uid="{00000000-0005-0000-0000-0000A30A0000}"/>
    <cellStyle name="Финансовый 2 2____Смета ПИР 414 км_ТОН-1" xfId="2724" xr:uid="{00000000-0005-0000-0000-0000A40A0000}"/>
    <cellStyle name="Финансовый 2 3" xfId="2725" xr:uid="{00000000-0005-0000-0000-0000A50A0000}"/>
    <cellStyle name="Финансовый 2 3 2" xfId="2726" xr:uid="{00000000-0005-0000-0000-0000A60A0000}"/>
    <cellStyle name="Финансовый 2 3_02.02 Согласовано Смета АЗС склад  (0002-И-ЦУП ВСТО)" xfId="2727" xr:uid="{00000000-0005-0000-0000-0000A70A0000}"/>
    <cellStyle name="Финансовый 2 4" xfId="2728" xr:uid="{00000000-0005-0000-0000-0000A80A0000}"/>
    <cellStyle name="Финансовый 2 5" xfId="2729" xr:uid="{00000000-0005-0000-0000-0000A90A0000}"/>
    <cellStyle name="Финансовый 2 6" xfId="2730" xr:uid="{00000000-0005-0000-0000-0000AA0A0000}"/>
    <cellStyle name="Финансовый 2 7" xfId="2731" xr:uid="{00000000-0005-0000-0000-0000AB0A0000}"/>
    <cellStyle name="Финансовый 2 8" xfId="2732" xr:uid="{00000000-0005-0000-0000-0000AC0A0000}"/>
    <cellStyle name="Финансовый 2 9" xfId="2733" xr:uid="{00000000-0005-0000-0000-0000AD0A0000}"/>
    <cellStyle name="Финансовый 2____Смета ПИР 414 км_ТОН-1" xfId="2734" xr:uid="{00000000-0005-0000-0000-0000AE0A0000}"/>
    <cellStyle name="Финансовый 3" xfId="2735" xr:uid="{00000000-0005-0000-0000-0000AF0A0000}"/>
    <cellStyle name="Финансовый 3 2" xfId="2736" xr:uid="{00000000-0005-0000-0000-0000B00A0000}"/>
    <cellStyle name="Финансовый 3 3" xfId="2737" xr:uid="{00000000-0005-0000-0000-0000B10A0000}"/>
    <cellStyle name="Финансовый 3 4" xfId="2738" xr:uid="{00000000-0005-0000-0000-0000B20A0000}"/>
    <cellStyle name="Финансовый 4" xfId="2739" xr:uid="{00000000-0005-0000-0000-0000B30A0000}"/>
    <cellStyle name="Финансовый 5" xfId="2740" xr:uid="{00000000-0005-0000-0000-0000B40A0000}"/>
    <cellStyle name="Финансовый 6" xfId="2741" xr:uid="{00000000-0005-0000-0000-0000B50A0000}"/>
    <cellStyle name="Финансовый 6 2" xfId="2742" xr:uid="{00000000-0005-0000-0000-0000B60A0000}"/>
    <cellStyle name="Финансовый 6 3" xfId="2743" xr:uid="{00000000-0005-0000-0000-0000B70A0000}"/>
    <cellStyle name="Финансовый 7" xfId="2744" xr:uid="{00000000-0005-0000-0000-0000B80A0000}"/>
    <cellStyle name="Финансовый 8" xfId="2745" xr:uid="{00000000-0005-0000-0000-0000B90A0000}"/>
    <cellStyle name="Финансовый 9" xfId="2746" xr:uid="{00000000-0005-0000-0000-0000BA0A0000}"/>
    <cellStyle name="Формула" xfId="2747" xr:uid="{00000000-0005-0000-0000-0000BB0A0000}"/>
    <cellStyle name="Формула 2" xfId="2748" xr:uid="{00000000-0005-0000-0000-0000BC0A0000}"/>
    <cellStyle name="Формула_3915 ИИР сводная стр-во АЗС №72 12.08.2011" xfId="2749" xr:uid="{00000000-0005-0000-0000-0000BD0A0000}"/>
    <cellStyle name="Хвост" xfId="2750" xr:uid="{00000000-0005-0000-0000-0000BE0A0000}"/>
    <cellStyle name="Хороший 2" xfId="2751" xr:uid="{00000000-0005-0000-0000-0000BF0A0000}"/>
    <cellStyle name="Хороший 2 2" xfId="2752" xr:uid="{00000000-0005-0000-0000-0000C00A0000}"/>
    <cellStyle name="Хороший 2_РБС ф-1" xfId="2753" xr:uid="{00000000-0005-0000-0000-0000C10A0000}"/>
    <cellStyle name="Хороший 3" xfId="2754" xr:uid="{00000000-0005-0000-0000-0000C20A0000}"/>
    <cellStyle name="Хороший 4" xfId="2755" xr:uid="{00000000-0005-0000-0000-0000C30A0000}"/>
    <cellStyle name="Шаблон-КП-РРЛ8-15" xfId="2756" xr:uid="{00000000-0005-0000-0000-0000C40A0000}"/>
    <cellStyle name="ьber" xfId="2757" xr:uid="{00000000-0005-0000-0000-0000C50A0000}"/>
    <cellStyle name="Экспертиза" xfId="2758" xr:uid="{00000000-0005-0000-0000-0000C60A0000}"/>
    <cellStyle name="ю_x001d_р§_x000c_зю_x0017__x000d_аюU_x0001_K_x0014_r_x0015__x0007__x0001__x0001_" xfId="2759" xr:uid="{00000000-0005-0000-0000-0000C70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customXml" Target="../customXml/item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ergo\Resource\ECONOM\IZDERSKI\IZDPL200\UGO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40\EPG_Projeler\DATA\procedures\Qa\BIJWST6\AYRAP109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min\Downloads\ADA%20Proje\Raporlar\2003\Rapor%2008%20-%20Agustos%2020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lgiislem\bilgi%20islem\netbul\den\CPI201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ject\yutaka\MECHANICAL-tsr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lgelerim\mrk_rapor\My%20Documents\cumhur\My%20Documents\cumhurexcel\AYLIKR~1\OPR01_proje_monthly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min\Downloads\ADA%20Proje\Raporlar\2003\01%20-%20Rapor%20-%20Ocak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ysu\TK06022_ASTA\BIM\BILGI\IZMCARF\TK0002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4-fs2\bizplansbe\&#1054;&#1090;&#1076;&#1077;&#1083;%20&#1041;&#1055;\Nika\&#1058;&#1072;&#1073;&#1083;&#1080;&#1094;&#1072;%20&#1087;&#1086;%20&#1085;&#1086;&#1088;&#1084;&#1072;&#1090;&#1080;&#1074;&#1072;&#1084;%20&#1074;&#1086;&#1076;&#10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LAMA\C\LEVENT\Camlik\KESCAM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min\Downloads\Worksheet%20in%20(C)%205140-XXXX%20Cash%20IAS%20Review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04-OFFERS\T-2007\T07.07-%20MEGA%20OMSK\WORKS\Ahmet\BOQ_TZ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henko\&#1087;&#1072;&#1087;&#1082;&#1072;\&#1085;&#1072;&#1082;&#1086;&#1087;&#1083;&#1077;&#1085;&#1080;&#1077;\&#1086;&#1073;&#1098;&#1077;&#1082;&#1090;&#1099;%202000%20&#1069;&#1058;&#1054;\&#1085;&#1086;&#1084;&#1077;&#1085;&#1082;&#1083;&#1072;&#1090;&#1091;&#1088;&#1072;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0-факт"/>
      <sheetName val="на 1 тут"/>
      <sheetName val="Воркута-99"/>
      <sheetName val="Воркута2000"/>
      <sheetName val="Воркута2002"/>
      <sheetName val="Лист1"/>
      <sheetName val="FES"/>
      <sheetName val="Позиция"/>
      <sheetName val="Кедровский"/>
      <sheetName val="Список подразделений"/>
      <sheetName val="1.0"/>
      <sheetName val="1.1"/>
      <sheetName val="Список"/>
      <sheetName val="основа часы 51W 51 O"/>
      <sheetName val="основа часы CWP3-CWP3A"/>
      <sheetName val="Extrapolacija i interpolacija"/>
      <sheetName val="Справочник"/>
      <sheetName val="Настройка"/>
      <sheetName val="Настройка 1"/>
      <sheetName val="Справочник статей ДДС"/>
      <sheetName val="Параметры должностей"/>
      <sheetName val="Ввод"/>
      <sheetName val="Курсы_валют"/>
      <sheetName val="Раскрывающиеся списки"/>
      <sheetName val="на_1_тут"/>
      <sheetName val="Список_подразделений"/>
      <sheetName val="1_0"/>
      <sheetName val="1_1"/>
      <sheetName val="основа_часы_51W_51_O"/>
      <sheetName val="основа_часы_CWP3-CWP3A"/>
      <sheetName val="Extrapolacija_i_interpolacija"/>
      <sheetName val="Настройка_1"/>
      <sheetName val="Параметры_должностей"/>
      <sheetName val="Справочник_статей_ДДС"/>
      <sheetName val="Раскрывающиеся_списки"/>
      <sheetName val="УШР на текущую дату"/>
      <sheetName val="Доп. данные"/>
      <sheetName val="Настройки"/>
      <sheetName val="РС"/>
      <sheetName val="Cevi ukupno "/>
      <sheetName val="Parametri"/>
      <sheetName val="Условия"/>
      <sheetName val="Списки"/>
      <sheetName val="UGOL"/>
      <sheetName val="Перечень"/>
      <sheetName val="на_1_тут1"/>
      <sheetName val="на_1_тут2"/>
      <sheetName val="на_1_тут3"/>
      <sheetName val="на_1_тут4"/>
      <sheetName val="на_1_тут5"/>
      <sheetName val="на_1_тут6"/>
      <sheetName val="на_1_тут7"/>
      <sheetName val="ВАРИАНТ 3 РАБОЧИЙ"/>
      <sheetName val="20"/>
      <sheetName val="23"/>
      <sheetName val="26"/>
      <sheetName val="27"/>
      <sheetName val="28"/>
      <sheetName val="21"/>
      <sheetName val="29"/>
      <sheetName val="Справочники"/>
      <sheetName val="25"/>
      <sheetName val="19"/>
      <sheetName val="22"/>
      <sheetName val="24"/>
      <sheetName val="TEHSHEET"/>
      <sheetName val="план 2000"/>
      <sheetName val="Перегруппировка"/>
      <sheetName val="ПрЭС"/>
      <sheetName val="Главная для ТП"/>
      <sheetName val="1.15 (д.б.)"/>
      <sheetName val="Заголовок"/>
      <sheetName val="ФОТ по месяцам"/>
      <sheetName val="Смета ДУ и ПД"/>
      <sheetName val="Главная"/>
      <sheetName val="EKDEB90"/>
      <sheetName val="Смета_"/>
      <sheetName val="ВАРИАНТ_3_РАБОЧИЙ"/>
      <sheetName val="план_2000"/>
      <sheetName val="Главная_для_ТП"/>
      <sheetName val="1_15_(д_б_)"/>
      <sheetName val="T0"/>
      <sheetName val="БДР"/>
      <sheetName val="прочие доходы"/>
      <sheetName val="ТЭП ТНС утв."/>
      <sheetName val="КПЭ"/>
      <sheetName val="ОНА,ОНО"/>
      <sheetName val="Т6"/>
      <sheetName val="1. свод филиалы"/>
      <sheetName val="1. ИА"/>
      <sheetName val="1. свод ЛЭ"/>
      <sheetName val="Смета2 проект. раб."/>
      <sheetName val="Drop down lists"/>
      <sheetName val="реестр сф 2012"/>
      <sheetName val="служебная"/>
      <sheetName val="Итоги"/>
      <sheetName val="Лист2"/>
      <sheetName val="Гр5(о)"/>
      <sheetName val="共機J"/>
      <sheetName val="Сводка - лизинг"/>
      <sheetName val="SET"/>
      <sheetName val="Сведения"/>
      <sheetName val="База"/>
      <sheetName val="Свод"/>
      <sheetName val="перекрестка"/>
      <sheetName val="16"/>
      <sheetName val="18.2"/>
      <sheetName val="4"/>
      <sheetName val="6"/>
      <sheetName val="6 Списки"/>
      <sheetName val="15"/>
      <sheetName val="17.1"/>
      <sheetName val="2.3"/>
      <sheetName val="P2.1"/>
      <sheetName val="control"/>
      <sheetName val="Регионы"/>
      <sheetName val="NEW-PANEL"/>
      <sheetName val="График численности (2)"/>
      <sheetName val="Список_подразделений1"/>
      <sheetName val="1_01"/>
      <sheetName val="1_11"/>
      <sheetName val="основа_часы_51W_51_O1"/>
      <sheetName val="основа_часы_CWP3-CWP3A1"/>
      <sheetName val="Extrapolacija_i_interpolacija1"/>
      <sheetName val="Настройка_11"/>
      <sheetName val="Параметры_должностей1"/>
      <sheetName val="Справочник_статей_ДДС1"/>
      <sheetName val="Раскрывающиеся_списки1"/>
      <sheetName val="УШР_на_текущую_дату"/>
      <sheetName val="Доп__данные"/>
      <sheetName val="Baza"/>
      <sheetName val="Расчет для Анализа"/>
      <sheetName val="РКЦ"/>
      <sheetName val="статьи"/>
      <sheetName val=" СУ ФНП"/>
      <sheetName val="БДР Ф1-АД"/>
      <sheetName val="Перечень значений"/>
      <sheetName val="Источник данных"/>
      <sheetName val="Стро"/>
      <sheetName val="Сотрудники"/>
      <sheetName val="ис.смета"/>
      <sheetName val="1"/>
      <sheetName val="0"/>
      <sheetName val="Ведомость объемов работ"/>
      <sheetName val="Свод сметы"/>
      <sheetName val="П.8."/>
      <sheetName val="Автозаполнение"/>
      <sheetName val="Handbook"/>
      <sheetName val="Информ-я о регулируемой орг-и"/>
      <sheetName val="Справочник коды"/>
      <sheetName val="база подразделение"/>
      <sheetName val="база статьи затрат"/>
      <sheetName val="Справочник подпроеков"/>
      <sheetName val="ВАРИАНТ_3_РАБОЧИЙ1"/>
      <sheetName val="план_20001"/>
      <sheetName val="Главная_для_ТП1"/>
      <sheetName val="1_15_(д_б_)1"/>
      <sheetName val="ФОТ_по_месяцам"/>
      <sheetName val="Смета_ДУ_и_ПД"/>
      <sheetName val="прочие_доходы"/>
      <sheetName val="ТЭП_ТНС_утв_"/>
      <sheetName val="1__свод_филиалы"/>
      <sheetName val="1__ИА"/>
      <sheetName val="1__свод_ЛЭ"/>
      <sheetName val="Смета2_проект__раб_"/>
      <sheetName val="Drop_down_lists"/>
      <sheetName val="реестр_сф_2012"/>
      <sheetName val="Сводка_-_лизинг"/>
      <sheetName val="18_2"/>
      <sheetName val="6_Списки"/>
      <sheetName val="17_1"/>
      <sheetName val="2_3"/>
      <sheetName val="P2_1"/>
      <sheetName val="СП"/>
      <sheetName val="Статусы"/>
      <sheetName val="Константы"/>
      <sheetName val="справка"/>
      <sheetName val="Статьи БДДС"/>
      <sheetName val="на_1_тут8"/>
      <sheetName val="Список_подразделений2"/>
      <sheetName val="1_02"/>
      <sheetName val="1_12"/>
      <sheetName val="основа_часы_51W_51_O2"/>
      <sheetName val="основа_часы_CWP3-CWP3A2"/>
      <sheetName val="Extrapolacija_i_interpolacija2"/>
      <sheetName val="Настройка_12"/>
      <sheetName val="Параметры_должностей2"/>
      <sheetName val="Справочник_статей_ДДС2"/>
      <sheetName val="Раскрывающиеся_списки2"/>
      <sheetName val="УШР_на_текущую_дату1"/>
      <sheetName val="Доп__данные1"/>
      <sheetName val="Cevi_ukupno_"/>
      <sheetName val="График_численности_(2)"/>
      <sheetName val="Расчет_для_Анализа"/>
      <sheetName val="_СУ_ФНП"/>
      <sheetName val="Перечень_значений"/>
      <sheetName val="БДР_Ф1-АД"/>
      <sheetName val="Источник_данных"/>
      <sheetName val="ис_смета"/>
      <sheetName val="Свод_сметы"/>
      <sheetName val="П_8_"/>
      <sheetName val="Информ-я_о_регулируемой_орг-и"/>
      <sheetName val="Справочник_коды"/>
      <sheetName val="база_подразделение"/>
      <sheetName val="база_статьи_затрат"/>
      <sheetName val="Ведомость_объемов_работ"/>
      <sheetName val="Справочник_подпроеков"/>
      <sheetName val="Справочник_2"/>
      <sheetName val="БД"/>
      <sheetName val="ID ПС"/>
      <sheetName val="Нормы325"/>
      <sheetName val="TOPLIWO"/>
      <sheetName val="договора-ОТЧЕТутв.БП"/>
      <sheetName val="2018"/>
      <sheetName val="2019"/>
      <sheetName val="Справочно"/>
      <sheetName val="Типовые причины"/>
      <sheetName val="БЗ"/>
      <sheetName val="Классификатор"/>
      <sheetName val="Справочник ЦФО"/>
      <sheetName val="СправочникУМиТ"/>
      <sheetName val="ID_ПС"/>
      <sheetName val="Потр. щебня"/>
      <sheetName val="ГХ РД"/>
      <sheetName val="ГПР ТОФ"/>
      <sheetName val="ВАРИАНТ_3_РАБОЧИЙ2"/>
      <sheetName val="план_20002"/>
      <sheetName val="Главная_для_ТП2"/>
      <sheetName val="1_15_(д_б_)2"/>
      <sheetName val="ФОТ_по_месяцам1"/>
      <sheetName val="Смета_ДУ_и_ПД1"/>
      <sheetName val="прочие_доходы1"/>
      <sheetName val="ТЭП_ТНС_утв_1"/>
      <sheetName val="1__свод_филиалы1"/>
      <sheetName val="1__ИА1"/>
      <sheetName val="1__свод_ЛЭ1"/>
      <sheetName val="Смета2_проект__раб_1"/>
      <sheetName val="Drop_down_lists1"/>
      <sheetName val="реестр_сф_20121"/>
      <sheetName val="Сводка_-_лизинг1"/>
      <sheetName val="18_21"/>
      <sheetName val="6_Списки1"/>
      <sheetName val="17_11"/>
      <sheetName val="2_31"/>
      <sheetName val="P2_11"/>
      <sheetName val="Параметры"/>
      <sheetName val="ПР. 1 ТКП МЭСР"/>
      <sheetName val="Отчет"/>
      <sheetName val="Пров_Знач"/>
      <sheetName val="01"/>
      <sheetName val="Расчет НВВ общий"/>
      <sheetName val="Вар.1"/>
      <sheetName val="Вар.2"/>
      <sheetName val="Вар.3"/>
      <sheetName val="Вар.3.1"/>
      <sheetName val="#ССЫЛКА"/>
      <sheetName val="на_1_тут9"/>
      <sheetName val="Список_подразделений3"/>
      <sheetName val="1_03"/>
      <sheetName val="1_13"/>
      <sheetName val="основа_часы_51W_51_O3"/>
      <sheetName val="основа_часы_CWP3-CWP3A3"/>
      <sheetName val="Параметры_должностей3"/>
      <sheetName val="Extrapolacija_i_interpolacija3"/>
      <sheetName val="Настройка_13"/>
      <sheetName val="Справочник_статей_ДДС3"/>
      <sheetName val="Раскрывающиеся_списки3"/>
      <sheetName val="УШР_на_текущую_дату2"/>
      <sheetName val="Доп__данные2"/>
      <sheetName val="Cevi_ukupno_1"/>
      <sheetName val="График_численности_(2)1"/>
      <sheetName val="Расчет_для_Анализа1"/>
      <sheetName val="_СУ_ФНП1"/>
      <sheetName val="Перечень_значений1"/>
      <sheetName val="БДР_Ф1-АД1"/>
      <sheetName val="Источник_данных1"/>
      <sheetName val="ис_смета1"/>
      <sheetName val="ВАРИАНТ_3_РАБОЧИЙ3"/>
      <sheetName val="план_20003"/>
      <sheetName val="Главная_для_ТП3"/>
      <sheetName val="1_15_(д_б_)3"/>
      <sheetName val="ФОТ_по_месяцам2"/>
      <sheetName val="Смета_ДУ_и_ПД2"/>
      <sheetName val="прочие_доходы2"/>
      <sheetName val="ТЭП_ТНС_утв_2"/>
      <sheetName val="1__свод_филиалы2"/>
      <sheetName val="1__ИА2"/>
      <sheetName val="1__свод_ЛЭ2"/>
      <sheetName val="Смета2_проект__раб_2"/>
      <sheetName val="Drop_down_lists2"/>
      <sheetName val="реестр_сф_20122"/>
      <sheetName val="Сводка_-_лизинг2"/>
      <sheetName val="18_22"/>
      <sheetName val="6_Списки2"/>
      <sheetName val="17_12"/>
      <sheetName val="2_32"/>
      <sheetName val="P2_12"/>
      <sheetName val="Свод_сметы1"/>
      <sheetName val="П_8_1"/>
      <sheetName val="Информ-я_о_регулируемой_орг-и1"/>
      <sheetName val="Справочник_коды1"/>
      <sheetName val="база_подразделение1"/>
      <sheetName val="база_статьи_затрат1"/>
      <sheetName val="Ведомость_объемов_работ1"/>
      <sheetName val="Справочник_подпроеков1"/>
      <sheetName val="Статьи_БДДС"/>
      <sheetName val="Потр__щебня"/>
      <sheetName val="ГХ_РД"/>
      <sheetName val="ГПР_ТОФ"/>
      <sheetName val="ID_ПС1"/>
      <sheetName val="договора-ОТЧЕТутв_БП"/>
      <sheetName val="Типовые_причины"/>
      <sheetName val="Справочник_ЦФО"/>
      <sheetName val="Расчет_НВВ_общий"/>
      <sheetName val="Вып. списки"/>
      <sheetName val="А Форма ВОР"/>
      <sheetName val="B Перечень УЕР"/>
      <sheetName val="C Запрос"/>
      <sheetName val="D диапазон точности"/>
      <sheetName val="E Расчет капитальных затрат"/>
      <sheetName val="Справочник_НО"/>
      <sheetName val="Прил. В Перечень УЕР"/>
      <sheetName val="Шаг 3. расчет НУ"/>
      <sheetName val="на_1_тут10"/>
      <sheetName val="Список_подразделений4"/>
      <sheetName val="1_04"/>
      <sheetName val="1_14"/>
      <sheetName val="основа_часы_51W_51_O4"/>
      <sheetName val="основа_часы_CWP3-CWP3A4"/>
      <sheetName val="Extrapolacija_i_interpolacija4"/>
      <sheetName val="Настройка_14"/>
      <sheetName val="Параметры_должностей4"/>
      <sheetName val="Справочник_статей_ДДС4"/>
      <sheetName val="Раскрывающиеся_списки4"/>
      <sheetName val="УШР_на_текущую_дату3"/>
      <sheetName val="Доп__данные3"/>
      <sheetName val="Cevi_ukupno_2"/>
      <sheetName val="График_численности_(2)2"/>
      <sheetName val="Расчет_для_Анализа2"/>
      <sheetName val="_СУ_ФНП2"/>
      <sheetName val="БДР_Ф1-АД2"/>
      <sheetName val="Источник_данных2"/>
      <sheetName val="Перечень_значений2"/>
      <sheetName val="ис_смета2"/>
      <sheetName val="ВАРИАНТ_3_РАБОЧИЙ4"/>
      <sheetName val="план_20004"/>
      <sheetName val="Главная_для_ТП4"/>
      <sheetName val="1_15_(д_б_)4"/>
      <sheetName val="ФОТ_по_месяцам3"/>
      <sheetName val="Смета_ДУ_и_ПД3"/>
      <sheetName val="прочие_доходы3"/>
      <sheetName val="ТЭП_ТНС_утв_3"/>
      <sheetName val="1__свод_филиалы3"/>
      <sheetName val="1__ИА3"/>
      <sheetName val="1__свод_ЛЭ3"/>
      <sheetName val="Смета2_проект__раб_3"/>
      <sheetName val="Drop_down_lists3"/>
      <sheetName val="реестр_сф_20123"/>
      <sheetName val="Сводка_-_лизинг3"/>
      <sheetName val="18_23"/>
      <sheetName val="6_Списки3"/>
      <sheetName val="17_13"/>
      <sheetName val="2_33"/>
      <sheetName val="P2_13"/>
      <sheetName val="Свод_сметы2"/>
      <sheetName val="П_8_2"/>
      <sheetName val="Информ-я_о_регулируемой_орг-и2"/>
      <sheetName val="Справочник_коды2"/>
      <sheetName val="база_подразделение2"/>
      <sheetName val="база_статьи_затрат2"/>
      <sheetName val="Справочник_подпроеков2"/>
      <sheetName val="Ведомость_объемов_работ2"/>
      <sheetName val="Статьи_БДДС1"/>
      <sheetName val="Потр__щебня1"/>
      <sheetName val="ГХ_РД1"/>
      <sheetName val="ГПР_ТОФ1"/>
      <sheetName val="ID_ПС2"/>
      <sheetName val="договора-ОТЧЕТутв_БП1"/>
      <sheetName val="Типовые_причины1"/>
      <sheetName val="Справочник_ЦФО1"/>
      <sheetName val="Расчет_НВВ_общий1"/>
      <sheetName val="Вар_1"/>
      <sheetName val="Вар_2"/>
      <sheetName val="Вар_3"/>
      <sheetName val="Вар_3_1"/>
      <sheetName val="Шаг_3__расчет_НУ"/>
      <sheetName val="09.12"/>
      <sheetName val="сводный бюджет КГМК"/>
      <sheetName val="бюджет_ОВЭ"/>
      <sheetName val="бюджет_ОРФ"/>
      <sheetName val="инструмент, расходники"/>
      <sheetName val="D Расчет капитальных затрат"/>
      <sheetName val="ОВЭ"/>
      <sheetName val="ОРФ (доп.)"/>
      <sheetName val="ﾏｼﾅﾘ強度比較"/>
      <sheetName val="4 461"/>
      <sheetName val="A"/>
      <sheetName val="API - Case 1"/>
      <sheetName val="Металлоконструкции"/>
      <sheetName val="Cashflow Analysis"/>
      <sheetName val="10. Поступления"/>
      <sheetName val="Мари"/>
      <sheetName val="Вып__списки"/>
      <sheetName val="ПР__1_ТКП_МЭСР"/>
      <sheetName val="ИТ-бюджет"/>
      <sheetName val="MAIN"/>
      <sheetName val="Д"/>
      <sheetName val="Денежный поток"/>
      <sheetName val="Инструкция"/>
      <sheetName val="Затраты на субподряд"/>
      <sheetName val="Титульный"/>
      <sheetName val="1_411_1"/>
      <sheetName val="PD_5_2"/>
      <sheetName val="1_3 новая"/>
      <sheetName val="1,3 новая"/>
      <sheetName val="PD.5_1"/>
      <sheetName val="ИнвестицииСвод"/>
      <sheetName val="PD_5_1"/>
      <sheetName val="Понедельно"/>
      <sheetName val="Итог по НПО "/>
      <sheetName val="_ССЫЛКА"/>
      <sheetName val="PD_5_3"/>
      <sheetName val="Баланс _Ф1_"/>
      <sheetName val="1_401_2"/>
      <sheetName val="П"/>
      <sheetName val="3_3_31_"/>
      <sheetName val="формаДДС_пЛОХ_ЛОХЛкмесяц03_ДАШв"/>
      <sheetName val="К1_МП"/>
      <sheetName val="Т4,Т4а"/>
      <sheetName val="8. Инвестиции"/>
      <sheetName val="КПиГР_вар.2.1"/>
      <sheetName val="ЛГСС"/>
      <sheetName val="系数516"/>
      <sheetName val="Себес и админ_9м20"/>
      <sheetName val="KPIs VLS"/>
      <sheetName val="butubmf"/>
      <sheetName val="Смета НВВ"/>
      <sheetName val="выручка по годам"/>
      <sheetName val="대비표"/>
      <sheetName val="10__Поступления"/>
      <sheetName val="XLR_NoRangeSheet"/>
      <sheetName val="Сводн. с расшир. ОВ и ОС"/>
      <sheetName val="21.3"/>
      <sheetName val="расчетный "/>
      <sheetName val="расшифровка"/>
      <sheetName val="산근"/>
      <sheetName val="BQMPALOC"/>
      <sheetName val="договора-ОТЧЕТутв_БП2"/>
      <sheetName val="Вып__списки1"/>
      <sheetName val="10__Поступления1"/>
      <sheetName val="17"/>
      <sheetName val="Часы свод"/>
      <sheetName val="RSOILBAL"/>
      <sheetName val="Добыча-факт"/>
      <sheetName val="Константы_реестр"/>
      <sheetName val="Оборудование"/>
      <sheetName val="прогр"/>
      <sheetName val="W28"/>
      <sheetName val="Adjustment schedule"/>
      <sheetName val="2.Растановка людских ресурсов.."/>
      <sheetName val="Информация"/>
      <sheetName val="График Люди (3)"/>
      <sheetName val="сентябрь 18"/>
      <sheetName val="Часы"/>
      <sheetName val="Расчет_ПЛАН_Калькуль"/>
      <sheetName val="Finansal tamamlanma Eğrisi"/>
      <sheetName val="TABLO-3"/>
      <sheetName val="Авансы по СНГ"/>
      <sheetName val="Proforma"/>
      <sheetName val="TIE-INS"/>
      <sheetName val="Assumptions"/>
      <sheetName val="总包合同"/>
      <sheetName val="BM"/>
      <sheetName val="на_1_тут11"/>
      <sheetName val="Список_подразделений5"/>
      <sheetName val="1_05"/>
      <sheetName val="1_15"/>
      <sheetName val="основа_часы_51W_51_O5"/>
      <sheetName val="основа_часы_CWP3-CWP3A5"/>
      <sheetName val="Extrapolacija_i_interpolacija5"/>
      <sheetName val="Настройка_15"/>
      <sheetName val="Справочник_статей_ДДС5"/>
      <sheetName val="Параметры_должностей5"/>
      <sheetName val="Раскрывающиеся_списки5"/>
      <sheetName val="УШР_на_текущую_дату4"/>
      <sheetName val="Доп__данные4"/>
      <sheetName val="Cevi_ukupno_3"/>
      <sheetName val="График_численности_(2)3"/>
      <sheetName val="Расчет_для_Анализа3"/>
      <sheetName val="_СУ_ФНП3"/>
      <sheetName val="БДР_Ф1-АД3"/>
      <sheetName val="Перечень_значений3"/>
      <sheetName val="Источник_данных3"/>
      <sheetName val="ис_смета3"/>
      <sheetName val="Ведомость_объемов_работ3"/>
      <sheetName val="ВАРИАНТ_3_РАБОЧИЙ5"/>
      <sheetName val="план_20005"/>
      <sheetName val="Главная_для_ТП5"/>
      <sheetName val="1_15_(д_б_)5"/>
      <sheetName val="ФОТ_по_месяцам4"/>
      <sheetName val="Смета_ДУ_и_ПД4"/>
      <sheetName val="прочие_доходы4"/>
      <sheetName val="ТЭП_ТНС_утв_4"/>
      <sheetName val="1__свод_филиалы4"/>
      <sheetName val="1__ИА4"/>
      <sheetName val="1__свод_ЛЭ4"/>
      <sheetName val="Смета2_проект__раб_4"/>
      <sheetName val="Drop_down_lists4"/>
      <sheetName val="реестр_сф_20124"/>
      <sheetName val="Сводка_-_лизинг4"/>
      <sheetName val="18_24"/>
      <sheetName val="6_Списки4"/>
      <sheetName val="17_14"/>
      <sheetName val="2_34"/>
      <sheetName val="P2_14"/>
      <sheetName val="Свод_сметы3"/>
      <sheetName val="П_8_3"/>
      <sheetName val="Информ-я_о_регулируемой_орг-и3"/>
      <sheetName val="Справочник_коды3"/>
      <sheetName val="база_подразделение3"/>
      <sheetName val="база_статьи_затрат3"/>
      <sheetName val="Справочник_подпроеков3"/>
      <sheetName val="Статьи_БДДС2"/>
      <sheetName val="Потр__щебня2"/>
      <sheetName val="ГХ_РД2"/>
      <sheetName val="ГПР_ТОФ2"/>
      <sheetName val="ID_ПС3"/>
      <sheetName val="договора-ОТЧЕТутв_БП3"/>
      <sheetName val="Типовые_причины2"/>
      <sheetName val="Справочник_ЦФО2"/>
      <sheetName val="Расчет_НВВ_общий2"/>
      <sheetName val="Вар_11"/>
      <sheetName val="Вар_21"/>
      <sheetName val="Вар_31"/>
      <sheetName val="Вар_3_11"/>
      <sheetName val="Шаг_3__расчет_НУ1"/>
      <sheetName val="ПР__1_ТКП_МЭСР1"/>
      <sheetName val="А_Форма_ВОР"/>
      <sheetName val="B_Перечень_УЕР"/>
      <sheetName val="C_Запрос"/>
      <sheetName val="D_диапазон_точности"/>
      <sheetName val="E_Расчет_капитальных_затрат"/>
      <sheetName val="Вып__списки2"/>
      <sheetName val="09_12"/>
      <sheetName val="Прил__В_Перечень_УЕР"/>
      <sheetName val="10__Поступления2"/>
      <sheetName val="сводный_бюджет_КГМК"/>
      <sheetName val="инструмент,_расходники"/>
      <sheetName val="D_Расчет_капитальных_затрат"/>
      <sheetName val="ОРФ_(доп_)"/>
      <sheetName val="4_461"/>
      <sheetName val="API_-_Case_1"/>
      <sheetName val="Cashflow_Analysis"/>
      <sheetName val="Денежный_поток"/>
      <sheetName val="1_3_новая"/>
      <sheetName val="1,3_новая"/>
      <sheetName val="PD_5_11"/>
      <sheetName val="Итог_по_НПО_"/>
      <sheetName val="Баланс__Ф1_"/>
      <sheetName val="8__Инвестиции"/>
      <sheetName val="КПиГР_вар_2_1"/>
      <sheetName val="Затраты_на_субподряд"/>
      <sheetName val="выручка_по_годам"/>
      <sheetName val="Сводн__с_расшир__ОВ_и_ОС"/>
      <sheetName val="21_3"/>
      <sheetName val="расчетный_"/>
      <sheetName val="Часы_свод"/>
      <sheetName val="Себес_и_админ_9м20"/>
      <sheetName val="KPIs_VLS"/>
      <sheetName val="Adjustment_schedule"/>
      <sheetName val="2_Растановка_людских_ресурсов__"/>
      <sheetName val="График_Люди_(3)"/>
      <sheetName val="сентябрь_18"/>
      <sheetName val="Finansal_tamamlanma_Eğri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 refreshError="1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 refreshError="1"/>
      <sheetData sheetId="451" refreshError="1"/>
      <sheetData sheetId="452" refreshError="1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 Hakkında Bilgiler"/>
      <sheetName val="Finansal tamamlanma Eğrisi"/>
      <sheetName val="Fiziksel tamamlanma Eğrisi"/>
      <sheetName val="Butce Degerlendirme OzetiELD"/>
      <sheetName val="Butce D. OzetiLD"/>
      <sheetName val="Butce Degerlendirme OzetiUSD"/>
      <sheetName val="Bekleyen Borclar"/>
      <sheetName val="Nakit Akım Tablosu"/>
      <sheetName val="Ambar"/>
      <sheetName val="Borçlar Hesabı Yaslandırılması"/>
      <sheetName val="Personel Durum Ozeti"/>
      <sheetName val="Bekleyen Alacaklar Tablosu"/>
      <sheetName val="Dahili İstihkak Raporu"/>
      <sheetName val="Rapor Kapsamı"/>
      <sheetName val="Proje Prog Deg Özeti"/>
      <sheetName val="Organizasyon Şeması Türkçe"/>
      <sheetName val="Hakediş Takip Cetveli"/>
      <sheetName val="Avans - Teminat Takip"/>
      <sheetName val="Makina Ekipman Durumu"/>
      <sheetName val="Sheet1"/>
      <sheetName val="Proje_Hakkında_Bilgiler"/>
      <sheetName val="Finansal_tamamlanma_Eğrisi"/>
      <sheetName val="Fiziksel_tamamlanma_Eğrisi"/>
      <sheetName val="Butce_Degerlendirme_OzetiELD"/>
      <sheetName val="Butce_D__OzetiLD"/>
      <sheetName val="Butce_Degerlendirme_OzetiUSD"/>
      <sheetName val="Bekleyen_Borclar"/>
      <sheetName val="Nakit_Akım_Tablosu"/>
      <sheetName val="Borçlar_Hesabı_Yaslandırılması"/>
      <sheetName val="Personel_Durum_Ozeti"/>
      <sheetName val="Bekleyen_Alacaklar_Tablosu"/>
      <sheetName val="Dahili_İstihkak_Raporu"/>
      <sheetName val="Rapor_Kapsamı"/>
      <sheetName val="Proje_Prog_Deg_Özeti"/>
      <sheetName val="Organizasyon_Şeması_Türkçe"/>
      <sheetName val="Hakediş_Takip_Cetveli"/>
      <sheetName val="Avans_-_Teminat_Takip"/>
      <sheetName val="Makina_Ekipman_Durumu"/>
      <sheetName val="Tanımlar"/>
      <sheetName val="INDIRECT COST"/>
      <sheetName val="Cover"/>
      <sheetName val="Overall"/>
      <sheetName val="Degiskenler"/>
      <sheetName val="LOB"/>
      <sheetName val=" N Finansal Eğri"/>
      <sheetName val="Finansal tamamlanma E?risi"/>
      <sheetName val="F.D."/>
      <sheetName val="SIVA"/>
      <sheetName val="TESİSAT"/>
      <sheetName val="Kodlamalar"/>
      <sheetName val="1 Grand Total Project"/>
      <sheetName val="Sheet7"/>
      <sheetName val="Sheet8"/>
      <sheetName val="Sheet10"/>
      <sheetName val="ALL IN ONE"/>
      <sheetName val="Sheet3"/>
      <sheetName val="Sheet2"/>
      <sheetName val="Sheet11"/>
      <sheetName val="Sheet9"/>
      <sheetName val="Доп.объём К1-3 (общестрой)"/>
      <sheetName val="Доп.объём К4-8 (общестрой)"/>
      <sheetName val="Доп.объем К1-8 (инж.системы)"/>
      <sheetName val="malzeme listesi"/>
      <sheetName val="SchProgress"/>
      <sheetName val="mal_onay"/>
      <sheetName val="imalat_icmal"/>
      <sheetName val="BOQList"/>
      <sheetName val="AOP Summary-2"/>
      <sheetName val="Organizasyon"/>
      <sheetName val="MALZEME"/>
      <sheetName val="TABLO-3"/>
      <sheetName val="Adam-saat Kod"/>
      <sheetName val="Moving"/>
      <sheetName val="#BAŞV"/>
      <sheetName val="KUR"/>
      <sheetName val="INSAAT"/>
      <sheetName val="FitOutConfCentre"/>
      <sheetName val="272-273"/>
      <sheetName val="280a-273a"/>
      <sheetName val="267-269"/>
      <sheetName val="(246-247)"/>
      <sheetName val="252-252a"/>
      <sheetName val="247-248"/>
      <sheetName val="259-260"/>
      <sheetName val="262-263"/>
      <sheetName val="265-260"/>
      <sheetName val="267a-268"/>
      <sheetName val="250-251"/>
      <sheetName val="270-271"/>
      <sheetName val="252a-253"/>
      <sheetName val="251-252"/>
      <sheetName val="249-250"/>
      <sheetName val="248-249"/>
      <sheetName val="Finansal tamamlanma Erisi"/>
      <sheetName val="ЭОМ СС Потаповский"/>
      <sheetName val="Data technical"/>
      <sheetName val="Cost"/>
      <sheetName val="smeta"/>
      <sheetName val="Справочники"/>
      <sheetName val="AYRAP1099"/>
      <sheetName val="SETTINGS"/>
      <sheetName val="rayiç"/>
      <sheetName val="katsayılar"/>
      <sheetName val="BLOK-KEŞİF"/>
      <sheetName val="1"/>
      <sheetName val="16"/>
      <sheetName val="50"/>
      <sheetName val="List"/>
      <sheetName val="Инфо."/>
      <sheetName val="информация"/>
      <sheetName val="шаблон"/>
      <sheetName val="Finansal_tamamlanma_Eğrisi1"/>
      <sheetName val="Proje_Hakkında_Bilgiler1"/>
      <sheetName val="Fiziksel_tamamlanma_Eğrisi1"/>
      <sheetName val="Butce_Degerlendirme_OzetiELD1"/>
      <sheetName val="Butce_D__OzetiLD1"/>
      <sheetName val="Butce_Degerlendirme_OzetiUSD1"/>
      <sheetName val="Bekleyen_Borclar1"/>
      <sheetName val="Nakit_Akım_Tablosu1"/>
      <sheetName val="Borçlar_Hesabı_Yaslandırılması1"/>
      <sheetName val="Personel_Durum_Ozeti1"/>
      <sheetName val="Bekleyen_Alacaklar_Tablosu1"/>
      <sheetName val="Dahili_İstihkak_Raporu1"/>
      <sheetName val="Rapor_Kapsamı1"/>
      <sheetName val="Proje_Prog_Deg_Özeti1"/>
      <sheetName val="Organizasyon_Şeması_Türkçe1"/>
      <sheetName val="Hakediş_Takip_Cetveli1"/>
      <sheetName val="Avans_-_Teminat_Takip1"/>
      <sheetName val="Makina_Ekipman_Durumu1"/>
      <sheetName val="_N_Finansal_Eğri"/>
      <sheetName val="ALL_IN_ONE"/>
      <sheetName val="Доп_объём_К1-3_(общестрой)"/>
      <sheetName val="Доп_объём_К4-8_(общестрой)"/>
      <sheetName val="Доп_объем_К1-8_(инж_системы)"/>
      <sheetName val="malzeme_listesi"/>
      <sheetName val="AOP_Summary-2"/>
      <sheetName val="Finansal_tamamlanma_E?risi"/>
      <sheetName val="1.11.b"/>
      <sheetName val="HAKEDİŞ "/>
      <sheetName val="AKİF"/>
      <sheetName val="Finansal tamamlanma E_risi"/>
      <sheetName val="fctr"/>
      <sheetName val="graph_data"/>
      <sheetName val="Каталог ПКМ"/>
      <sheetName val="Для аудитора - For auditor"/>
      <sheetName val="Веса разделов"/>
      <sheetName val="Настройка"/>
      <sheetName val="Finansal_tamamlanma_E_risi"/>
      <sheetName val="SUMMARY CHART"/>
      <sheetName val="SUMMARY"/>
      <sheetName val="на 1 тут"/>
      <sheetName val="Оферта"/>
      <sheetName val="pricesummary"/>
      <sheetName val="не печатать"/>
      <sheetName val="PNTEXT"/>
      <sheetName val="Testing"/>
      <sheetName val="SelectionCriteria"/>
      <sheetName val="лист1"/>
      <sheetName val="обновление"/>
      <sheetName val="Номенклатура BOM"/>
      <sheetName val="Ввод данных аудита"/>
      <sheetName val="Авансы по СНГ"/>
      <sheetName val="SANTIYELER"/>
      <sheetName val="OZEL KOD"/>
      <sheetName val="Bolt Up"/>
      <sheetName val="Field Handle Fittings"/>
      <sheetName val="Attach Flange"/>
      <sheetName val="Handle &amp; Erect Fab Spools"/>
      <sheetName val="Shop Handle Pipe"/>
      <sheetName val="Olet"/>
      <sheetName val="Shop Handle Fittings"/>
      <sheetName val="Valve Handle"/>
      <sheetName val="W+C+2B"/>
      <sheetName val="HX"/>
      <sheetName val="список"/>
      <sheetName val="СМР"/>
      <sheetName val="Смета"/>
      <sheetName val="valve data"/>
      <sheetName val="drum"/>
      <sheetName val="ANLZ"/>
      <sheetName val="TTL"/>
      <sheetName val="динамика сальдо -финрез"/>
      <sheetName val="Units"/>
      <sheetName val="XLR_NoRangeSheet"/>
      <sheetName val="ПКМ"/>
      <sheetName val="Проводки'02"/>
      <sheetName val="УрРасч"/>
      <sheetName val="АКРасч"/>
      <sheetName val="INDIRECT_COST"/>
      <sheetName val="1_Grand_Total_Project"/>
      <sheetName val="F_D_"/>
      <sheetName val="Adam-saat_Kod"/>
      <sheetName val="Proje_Hakkında_Bilgiler2"/>
      <sheetName val="Finansal_tamamlanma_Eğrisi2"/>
      <sheetName val="Fiziksel_tamamlanma_Eğrisi2"/>
      <sheetName val="Butce_Degerlendirme_OzetiELD2"/>
      <sheetName val="Butce_D__OzetiLD2"/>
      <sheetName val="Butce_Degerlendirme_OzetiUSD2"/>
      <sheetName val="Bekleyen_Borclar2"/>
      <sheetName val="Nakit_Akım_Tablosu2"/>
      <sheetName val="Borçlar_Hesabı_Yaslandırılması2"/>
      <sheetName val="Personel_Durum_Ozeti2"/>
      <sheetName val="Bekleyen_Alacaklar_Tablosu2"/>
      <sheetName val="Dahili_İstihkak_Raporu2"/>
      <sheetName val="Rapor_Kapsamı2"/>
      <sheetName val="Proje_Prog_Deg_Özeti2"/>
      <sheetName val="Organizasyon_Şeması_Türkçe2"/>
      <sheetName val="Hakediş_Takip_Cetveli2"/>
      <sheetName val="Avans_-_Teminat_Takip2"/>
      <sheetName val="Makina_Ekipman_Durumu2"/>
      <sheetName val="_N_Finansal_Eğri1"/>
      <sheetName val="ALL_IN_ONE1"/>
      <sheetName val="Доп_объём_К1-3_(общестрой)1"/>
      <sheetName val="Доп_объём_К4-8_(общестрой)1"/>
      <sheetName val="Доп_объем_К1-8_(инж_системы)1"/>
      <sheetName val="malzeme_listesi1"/>
      <sheetName val="AOP_Summary-21"/>
      <sheetName val="Finansal_tamamlanma_E?risi1"/>
      <sheetName val="INDIRECT_COST1"/>
      <sheetName val="1_Grand_Total_Project1"/>
      <sheetName val="F_D_1"/>
      <sheetName val="Adam-saat_Kod1"/>
      <sheetName val="BID"/>
      <sheetName val="공문"/>
      <sheetName val="Crushing"/>
      <sheetName val="价格取值"/>
      <sheetName val="CAP-120mm2"/>
      <sheetName val="노임단가"/>
      <sheetName val="_T25"/>
      <sheetName val="справочник"/>
      <sheetName val="대비표"/>
      <sheetName val="Finansal_tamamlanma_Erisi"/>
      <sheetName val="dýsýplýn"/>
      <sheetName val="input-moscow"/>
      <sheetName val="Z"/>
      <sheetName val="Cash2"/>
      <sheetName val="Finansal_tamamlanma_E_risi1"/>
      <sheetName val="EQUIP DETAIL"/>
      <sheetName val="ид"/>
      <sheetName val="Средние"/>
      <sheetName val="PROJECT DATA"/>
      <sheetName val="icmal  (2)"/>
      <sheetName val="List - Components"/>
      <sheetName val="List - Equipment"/>
      <sheetName val="引进费用附表2-1"/>
      <sheetName val="TDC COA Sumry"/>
      <sheetName val="TDC Item Dets"/>
      <sheetName val="TDC Item Sumry"/>
      <sheetName val="TDC Key Qty Sumry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汇总表"/>
      <sheetName val="TIPO 1"/>
      <sheetName val="Forecast"/>
      <sheetName val="A"/>
      <sheetName val="0502cal"/>
      <sheetName val="综合概算表"/>
      <sheetName val="表三"/>
      <sheetName val="井类"/>
      <sheetName val="MDI设备"/>
      <sheetName val="Cashflow Analysis"/>
      <sheetName val="综合概算"/>
      <sheetName val="x"/>
      <sheetName val="#REF"/>
      <sheetName val="20设备"/>
      <sheetName val="Quantity"/>
      <sheetName val="AHTJDE"/>
      <sheetName val="tesisat"/>
      <sheetName val="BQMPALOC"/>
      <sheetName val="Proforma"/>
      <sheetName val="2010"/>
      <sheetName val="1) COMMON FACILITIES"/>
      <sheetName val="DATASHT"/>
      <sheetName val="ТС 1"/>
      <sheetName val="ФОРМА для заполнения"/>
      <sheetName val="산출근거#2-3"/>
      <sheetName val="BOM"/>
      <sheetName val="VENTILATIE"/>
      <sheetName val="산근"/>
      <sheetName val="q&amp;pl-v"/>
    </sheetNames>
    <sheetDataSet>
      <sheetData sheetId="0">
        <row r="5">
          <cell r="E5" t="str">
            <v>OCAK</v>
          </cell>
        </row>
      </sheetData>
      <sheetData sheetId="1" refreshError="1">
        <row r="5">
          <cell r="E5" t="str">
            <v>OCAK</v>
          </cell>
          <cell r="F5" t="str">
            <v>ŞUBAT</v>
          </cell>
          <cell r="G5" t="str">
            <v>MART</v>
          </cell>
          <cell r="H5" t="str">
            <v>NİSAN</v>
          </cell>
          <cell r="I5" t="str">
            <v>MAYIS</v>
          </cell>
          <cell r="J5" t="str">
            <v>HAZİRAN</v>
          </cell>
          <cell r="K5" t="str">
            <v>TEMMUZ</v>
          </cell>
          <cell r="L5" t="str">
            <v>AĞUSTOS</v>
          </cell>
          <cell r="M5" t="str">
            <v>EYLÜL</v>
          </cell>
          <cell r="N5" t="str">
            <v>EKİM</v>
          </cell>
          <cell r="O5" t="str">
            <v>KASIM</v>
          </cell>
          <cell r="P5" t="str">
            <v>ARALIK</v>
          </cell>
        </row>
        <row r="29">
          <cell r="E29">
            <v>263000</v>
          </cell>
          <cell r="F29">
            <v>717000</v>
          </cell>
          <cell r="G29">
            <v>708000</v>
          </cell>
          <cell r="H29">
            <v>56000</v>
          </cell>
          <cell r="I29">
            <v>309000</v>
          </cell>
          <cell r="J29">
            <v>252940.90000000037</v>
          </cell>
          <cell r="K29">
            <v>130747.08</v>
          </cell>
          <cell r="L29">
            <v>152051.44999999925</v>
          </cell>
          <cell r="M29">
            <v>445374.79250133003</v>
          </cell>
          <cell r="N29">
            <v>323869.88</v>
          </cell>
        </row>
        <row r="32">
          <cell r="E32">
            <v>9180489</v>
          </cell>
          <cell r="F32">
            <v>9897489</v>
          </cell>
          <cell r="G32">
            <v>10605489</v>
          </cell>
          <cell r="H32">
            <v>10661489</v>
          </cell>
          <cell r="I32">
            <v>10970489</v>
          </cell>
          <cell r="J32">
            <v>11173489</v>
          </cell>
          <cell r="K32">
            <v>11351489</v>
          </cell>
          <cell r="L32">
            <v>11955489</v>
          </cell>
          <cell r="M32">
            <v>12608489</v>
          </cell>
          <cell r="N32">
            <v>12944489</v>
          </cell>
        </row>
        <row r="43">
          <cell r="E43">
            <v>0.60156176841578335</v>
          </cell>
          <cell r="F43">
            <v>0.64854399212457681</v>
          </cell>
          <cell r="G43">
            <v>0.69493648080773673</v>
          </cell>
          <cell r="H43">
            <v>0.69860594318945557</v>
          </cell>
          <cell r="I43">
            <v>0.71885351240286866</v>
          </cell>
          <cell r="J43">
            <v>0.73215531353659957</v>
          </cell>
          <cell r="K43">
            <v>0.74381896182134877</v>
          </cell>
          <cell r="L43">
            <v>0.78339673465274517</v>
          </cell>
          <cell r="M43">
            <v>0.82618528706814554</v>
          </cell>
          <cell r="N43">
            <v>0.84820206135845877</v>
          </cell>
          <cell r="O43">
            <v>0</v>
          </cell>
          <cell r="P43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>
        <row r="5">
          <cell r="E5" t="str">
            <v>OCAK</v>
          </cell>
        </row>
      </sheetData>
      <sheetData sheetId="21">
        <row r="5">
          <cell r="E5" t="str">
            <v>OCAK</v>
          </cell>
        </row>
      </sheetData>
      <sheetData sheetId="22">
        <row r="5">
          <cell r="E5" t="str">
            <v>OCAK</v>
          </cell>
        </row>
      </sheetData>
      <sheetData sheetId="23">
        <row r="5">
          <cell r="E5" t="str">
            <v>OCAK</v>
          </cell>
        </row>
      </sheetData>
      <sheetData sheetId="24">
        <row r="5">
          <cell r="E5">
            <v>0</v>
          </cell>
        </row>
      </sheetData>
      <sheetData sheetId="25">
        <row r="5">
          <cell r="E5" t="str">
            <v>OCAK</v>
          </cell>
        </row>
      </sheetData>
      <sheetData sheetId="26">
        <row r="5">
          <cell r="E5" t="str">
            <v>OCAK</v>
          </cell>
        </row>
      </sheetData>
      <sheetData sheetId="27">
        <row r="5">
          <cell r="E5" t="str">
            <v>OCAK</v>
          </cell>
        </row>
      </sheetData>
      <sheetData sheetId="28">
        <row r="5">
          <cell r="E5">
            <v>0</v>
          </cell>
        </row>
      </sheetData>
      <sheetData sheetId="29">
        <row r="5">
          <cell r="E5" t="str">
            <v>OCAK</v>
          </cell>
        </row>
      </sheetData>
      <sheetData sheetId="30">
        <row r="5">
          <cell r="E5" t="str">
            <v>OCAK</v>
          </cell>
        </row>
      </sheetData>
      <sheetData sheetId="31">
        <row r="5">
          <cell r="E5" t="str">
            <v>OCAK</v>
          </cell>
        </row>
      </sheetData>
      <sheetData sheetId="32">
        <row r="5">
          <cell r="E5" t="str">
            <v>OCAK</v>
          </cell>
        </row>
      </sheetData>
      <sheetData sheetId="33">
        <row r="5">
          <cell r="E5" t="str">
            <v>OCAK</v>
          </cell>
        </row>
      </sheetData>
      <sheetData sheetId="34">
        <row r="5">
          <cell r="E5" t="str">
            <v>OCAK</v>
          </cell>
        </row>
      </sheetData>
      <sheetData sheetId="35">
        <row r="5">
          <cell r="E5" t="str">
            <v>OCAK</v>
          </cell>
        </row>
      </sheetData>
      <sheetData sheetId="36">
        <row r="5">
          <cell r="E5" t="str">
            <v>OCAK</v>
          </cell>
        </row>
      </sheetData>
      <sheetData sheetId="37">
        <row r="5">
          <cell r="E5">
            <v>0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5">
          <cell r="E5">
            <v>0</v>
          </cell>
        </row>
      </sheetData>
      <sheetData sheetId="52">
        <row r="5">
          <cell r="E5">
            <v>0</v>
          </cell>
        </row>
      </sheetData>
      <sheetData sheetId="53">
        <row r="5">
          <cell r="E5">
            <v>0</v>
          </cell>
        </row>
      </sheetData>
      <sheetData sheetId="54">
        <row r="5">
          <cell r="E5">
            <v>0</v>
          </cell>
        </row>
      </sheetData>
      <sheetData sheetId="55">
        <row r="5">
          <cell r="E5">
            <v>0</v>
          </cell>
        </row>
      </sheetData>
      <sheetData sheetId="56">
        <row r="5">
          <cell r="E5">
            <v>0</v>
          </cell>
        </row>
      </sheetData>
      <sheetData sheetId="57">
        <row r="5">
          <cell r="E5">
            <v>0</v>
          </cell>
        </row>
      </sheetData>
      <sheetData sheetId="58">
        <row r="5">
          <cell r="E5">
            <v>0</v>
          </cell>
        </row>
      </sheetData>
      <sheetData sheetId="59">
        <row r="5">
          <cell r="E5">
            <v>0</v>
          </cell>
        </row>
      </sheetData>
      <sheetData sheetId="60">
        <row r="5">
          <cell r="E5">
            <v>0</v>
          </cell>
        </row>
      </sheetData>
      <sheetData sheetId="61">
        <row r="5">
          <cell r="E5">
            <v>0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5">
          <cell r="E5">
            <v>0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>
        <row r="5">
          <cell r="E5">
            <v>0</v>
          </cell>
        </row>
      </sheetData>
      <sheetData sheetId="96">
        <row r="5">
          <cell r="E5">
            <v>0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5">
          <cell r="E5" t="str">
            <v>OCAK</v>
          </cell>
        </row>
      </sheetData>
      <sheetData sheetId="112">
        <row r="5">
          <cell r="E5" t="str">
            <v>OCAK</v>
          </cell>
        </row>
      </sheetData>
      <sheetData sheetId="113">
        <row r="5">
          <cell r="E5" t="str">
            <v>OCAK</v>
          </cell>
        </row>
      </sheetData>
      <sheetData sheetId="114">
        <row r="5">
          <cell r="E5" t="str">
            <v>OCAK</v>
          </cell>
        </row>
      </sheetData>
      <sheetData sheetId="115">
        <row r="5">
          <cell r="E5" t="str">
            <v>OCAK</v>
          </cell>
        </row>
      </sheetData>
      <sheetData sheetId="116">
        <row r="5">
          <cell r="E5" t="str">
            <v>OCAK</v>
          </cell>
        </row>
      </sheetData>
      <sheetData sheetId="117">
        <row r="5">
          <cell r="E5" t="str">
            <v>OCAK</v>
          </cell>
        </row>
      </sheetData>
      <sheetData sheetId="118">
        <row r="5">
          <cell r="E5" t="str">
            <v>OCAK</v>
          </cell>
        </row>
      </sheetData>
      <sheetData sheetId="119">
        <row r="5">
          <cell r="E5" t="str">
            <v>OCAK</v>
          </cell>
        </row>
      </sheetData>
      <sheetData sheetId="120">
        <row r="5">
          <cell r="E5" t="str">
            <v>OCAK</v>
          </cell>
        </row>
      </sheetData>
      <sheetData sheetId="121">
        <row r="5">
          <cell r="E5" t="str">
            <v>OCAK</v>
          </cell>
        </row>
      </sheetData>
      <sheetData sheetId="122">
        <row r="5">
          <cell r="E5" t="str">
            <v>OCAK</v>
          </cell>
        </row>
      </sheetData>
      <sheetData sheetId="123">
        <row r="5">
          <cell r="E5">
            <v>0</v>
          </cell>
        </row>
      </sheetData>
      <sheetData sheetId="124">
        <row r="5">
          <cell r="E5">
            <v>0</v>
          </cell>
        </row>
      </sheetData>
      <sheetData sheetId="125">
        <row r="5">
          <cell r="E5">
            <v>0</v>
          </cell>
        </row>
      </sheetData>
      <sheetData sheetId="126">
        <row r="5">
          <cell r="E5">
            <v>0</v>
          </cell>
        </row>
      </sheetData>
      <sheetData sheetId="127">
        <row r="5">
          <cell r="E5">
            <v>0</v>
          </cell>
        </row>
      </sheetData>
      <sheetData sheetId="128">
        <row r="5">
          <cell r="E5">
            <v>0</v>
          </cell>
        </row>
      </sheetData>
      <sheetData sheetId="129">
        <row r="5">
          <cell r="E5">
            <v>0</v>
          </cell>
        </row>
      </sheetData>
      <sheetData sheetId="130">
        <row r="5">
          <cell r="E5">
            <v>0</v>
          </cell>
        </row>
      </sheetData>
      <sheetData sheetId="131">
        <row r="5">
          <cell r="E5">
            <v>0</v>
          </cell>
        </row>
      </sheetData>
      <sheetData sheetId="132">
        <row r="5">
          <cell r="E5">
            <v>0</v>
          </cell>
        </row>
      </sheetData>
      <sheetData sheetId="133">
        <row r="5">
          <cell r="E5">
            <v>0</v>
          </cell>
        </row>
      </sheetData>
      <sheetData sheetId="134">
        <row r="5">
          <cell r="E5">
            <v>0</v>
          </cell>
        </row>
      </sheetData>
      <sheetData sheetId="135">
        <row r="5">
          <cell r="E5">
            <v>0</v>
          </cell>
        </row>
      </sheetData>
      <sheetData sheetId="136">
        <row r="5">
          <cell r="E5">
            <v>0</v>
          </cell>
        </row>
      </sheetData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 refreshError="1"/>
      <sheetData sheetId="158" refreshError="1"/>
      <sheetData sheetId="159" refreshError="1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>
        <row r="5">
          <cell r="E5">
            <v>0</v>
          </cell>
        </row>
      </sheetData>
      <sheetData sheetId="189">
        <row r="5">
          <cell r="E5">
            <v>0</v>
          </cell>
        </row>
      </sheetData>
      <sheetData sheetId="190">
        <row r="5">
          <cell r="E5">
            <v>0</v>
          </cell>
        </row>
      </sheetData>
      <sheetData sheetId="191">
        <row r="5">
          <cell r="E5" t="str">
            <v>OCAK</v>
          </cell>
        </row>
      </sheetData>
      <sheetData sheetId="192">
        <row r="5">
          <cell r="E5" t="str">
            <v>OCAK</v>
          </cell>
        </row>
      </sheetData>
      <sheetData sheetId="193">
        <row r="5">
          <cell r="E5" t="str">
            <v>OCAK</v>
          </cell>
        </row>
      </sheetData>
      <sheetData sheetId="194">
        <row r="5">
          <cell r="E5" t="str">
            <v>OCAK</v>
          </cell>
        </row>
      </sheetData>
      <sheetData sheetId="195">
        <row r="5">
          <cell r="E5" t="str">
            <v>OCAK</v>
          </cell>
        </row>
      </sheetData>
      <sheetData sheetId="196">
        <row r="5">
          <cell r="E5">
            <v>0</v>
          </cell>
        </row>
      </sheetData>
      <sheetData sheetId="197">
        <row r="5">
          <cell r="E5" t="str">
            <v>OCAK</v>
          </cell>
        </row>
      </sheetData>
      <sheetData sheetId="198">
        <row r="5">
          <cell r="E5" t="str">
            <v>OCAK</v>
          </cell>
        </row>
      </sheetData>
      <sheetData sheetId="199">
        <row r="5">
          <cell r="E5" t="str">
            <v>OCAK</v>
          </cell>
        </row>
      </sheetData>
      <sheetData sheetId="200">
        <row r="5">
          <cell r="E5" t="str">
            <v>OCAK</v>
          </cell>
        </row>
      </sheetData>
      <sheetData sheetId="201">
        <row r="5">
          <cell r="E5">
            <v>0</v>
          </cell>
        </row>
      </sheetData>
      <sheetData sheetId="202">
        <row r="5">
          <cell r="E5">
            <v>0</v>
          </cell>
        </row>
      </sheetData>
      <sheetData sheetId="203">
        <row r="5">
          <cell r="E5" t="str">
            <v>OCAK</v>
          </cell>
        </row>
      </sheetData>
      <sheetData sheetId="204">
        <row r="5">
          <cell r="E5" t="str">
            <v>OCAK</v>
          </cell>
        </row>
      </sheetData>
      <sheetData sheetId="205">
        <row r="5">
          <cell r="E5" t="str">
            <v>OCAK</v>
          </cell>
        </row>
      </sheetData>
      <sheetData sheetId="206">
        <row r="5">
          <cell r="E5">
            <v>0</v>
          </cell>
        </row>
      </sheetData>
      <sheetData sheetId="207">
        <row r="5">
          <cell r="E5">
            <v>0</v>
          </cell>
        </row>
      </sheetData>
      <sheetData sheetId="208">
        <row r="5">
          <cell r="E5">
            <v>0</v>
          </cell>
        </row>
      </sheetData>
      <sheetData sheetId="209">
        <row r="5">
          <cell r="E5" t="str">
            <v>OCAK</v>
          </cell>
        </row>
      </sheetData>
      <sheetData sheetId="210">
        <row r="5">
          <cell r="E5">
            <v>0</v>
          </cell>
        </row>
      </sheetData>
      <sheetData sheetId="211">
        <row r="5">
          <cell r="E5" t="str">
            <v>OCAK</v>
          </cell>
        </row>
      </sheetData>
      <sheetData sheetId="212">
        <row r="5">
          <cell r="E5">
            <v>0</v>
          </cell>
        </row>
      </sheetData>
      <sheetData sheetId="213">
        <row r="5">
          <cell r="E5">
            <v>0</v>
          </cell>
        </row>
      </sheetData>
      <sheetData sheetId="214">
        <row r="5">
          <cell r="E5">
            <v>0</v>
          </cell>
        </row>
      </sheetData>
      <sheetData sheetId="215">
        <row r="5">
          <cell r="E5">
            <v>0</v>
          </cell>
        </row>
      </sheetData>
      <sheetData sheetId="216">
        <row r="5">
          <cell r="E5">
            <v>0</v>
          </cell>
        </row>
      </sheetData>
      <sheetData sheetId="217">
        <row r="5">
          <cell r="E5">
            <v>0</v>
          </cell>
        </row>
      </sheetData>
      <sheetData sheetId="218">
        <row r="5">
          <cell r="E5">
            <v>0</v>
          </cell>
        </row>
      </sheetData>
      <sheetData sheetId="219">
        <row r="5">
          <cell r="E5">
            <v>0</v>
          </cell>
        </row>
      </sheetData>
      <sheetData sheetId="220">
        <row r="5">
          <cell r="E5">
            <v>0</v>
          </cell>
        </row>
      </sheetData>
      <sheetData sheetId="221">
        <row r="5">
          <cell r="E5">
            <v>0</v>
          </cell>
        </row>
      </sheetData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Kapak"/>
      <sheetName val="Rapor Kapsamı"/>
      <sheetName val="PM Raporu"/>
      <sheetName val="Proje Bilgi"/>
      <sheetName val="D Hak.Rapor (TL)"/>
      <sheetName val="D Hak.Rapor (DM)"/>
      <sheetName val="KÂRLILIK"/>
      <sheetName val="NAKİT"/>
      <sheetName val=" N Finansal Eğri"/>
      <sheetName val="K Fiziksel Eğri"/>
      <sheetName val="B Alacak"/>
      <sheetName val="B Borc"/>
      <sheetName val="Ambar"/>
      <sheetName val="Perso Durum"/>
      <sheetName val="Perso Mali"/>
      <sheetName val="Proje Aylık Faaliyet Degerl."/>
      <sheetName val="Proje Prog Deg Özeti"/>
      <sheetName val="TL Faaliyet Deg"/>
      <sheetName val="DM Faaliyet Deg"/>
      <sheetName val="Degisiklik"/>
      <sheetName val="emniyet"/>
      <sheetName val="_N Finansal Eğri"/>
      <sheetName val=" N Finansal E?ri"/>
      <sheetName val="Rapor 08 - Agustos 2003"/>
      <sheetName val="DIRECT COST"/>
      <sheetName val=""/>
      <sheetName val="Ekipman"/>
      <sheetName val="Datalar"/>
      <sheetName val="BCs"/>
      <sheetName val="Dokum Yeri Isimlendirme"/>
      <sheetName val="Rapor_Kapsamı"/>
      <sheetName val="PM_Raporu"/>
      <sheetName val="Proje_Bilgi"/>
      <sheetName val="D_Hak_Rapor_(TL)"/>
      <sheetName val="D_Hak_Rapor_(DM)"/>
      <sheetName val="_N_Finansal_Eğri"/>
      <sheetName val="K_Fiziksel_Eğri"/>
      <sheetName val="B_Alacak"/>
      <sheetName val="B_Borc"/>
      <sheetName val="Perso_Durum"/>
      <sheetName val="Perso_Mali"/>
      <sheetName val="Proje_Aylık_Faaliyet_Degerl_"/>
      <sheetName val="Proje_Prog_Deg_Özeti"/>
      <sheetName val="TL_Faaliyet_Deg"/>
      <sheetName val="DM_Faaliyet_Deg"/>
      <sheetName val="_N_Finansal_Eğri1"/>
      <sheetName val="Rapor_08_-_Agustos_2003"/>
      <sheetName val="_N_Finansal_E?ri"/>
      <sheetName val="14 Proje Kodları"/>
      <sheetName val="Proje Kodları"/>
      <sheetName val="02 Beton Takip"/>
      <sheetName val="07"/>
      <sheetName val="09"/>
      <sheetName val="10"/>
      <sheetName val="11"/>
      <sheetName val="12"/>
      <sheetName val="13"/>
      <sheetName val="15"/>
      <sheetName val="16"/>
      <sheetName val="Ins-Data"/>
      <sheetName val="Ins-Metraj"/>
      <sheetName val="Mec-Data"/>
      <sheetName val="Mec-Metraj"/>
      <sheetName val="Elec-Data"/>
      <sheetName val="Elec-Metraj"/>
      <sheetName val="Aktivite Tipleri"/>
      <sheetName val="Proje Kodları ve İlerlemeler"/>
      <sheetName val="DATALINK"/>
      <sheetName val="ANA SAYFA"/>
      <sheetName val="Lists"/>
      <sheetName val="1.Summary"/>
      <sheetName val="Kullanilan Kodlar"/>
      <sheetName val="Database-Material"/>
      <sheetName val="LIST"/>
      <sheetName val="Data Validation"/>
      <sheetName val="TaseronMatriks"/>
      <sheetName val="DIRECT_COST"/>
      <sheetName val="Validation"/>
      <sheetName val="Rapor_Kapsamı1"/>
      <sheetName val="PM_Raporu1"/>
      <sheetName val="Proje_Bilgi1"/>
      <sheetName val="D_Hak_Rapor_(TL)1"/>
      <sheetName val="D_Hak_Rapor_(DM)1"/>
      <sheetName val="_N_Finansal_Eğri2"/>
      <sheetName val="K_Fiziksel_Eğri1"/>
      <sheetName val="B_Alacak1"/>
      <sheetName val="B_Borc1"/>
      <sheetName val="Perso_Durum1"/>
      <sheetName val="Perso_Mali1"/>
      <sheetName val="Proje_Aylık_Faaliyet_Degerl_1"/>
      <sheetName val="Proje_Prog_Deg_Özeti1"/>
      <sheetName val="TL_Faaliyet_Deg1"/>
      <sheetName val="DM_Faaliyet_Deg1"/>
      <sheetName val="_N_Finansal_Eğri3"/>
      <sheetName val="_N_Finansal_E?ri1"/>
      <sheetName val="Rapor_08_-_Agustos_20031"/>
      <sheetName val="Dokum_Yeri_Isimlendirme"/>
      <sheetName val="14_Proje_Kodları"/>
      <sheetName val="Proje_Kodları"/>
      <sheetName val="02_Beton_Takip"/>
      <sheetName val="Aktivite_Tipleri"/>
      <sheetName val="Proje_Kodları_ve_İlerlemeler"/>
      <sheetName val="ANA_SAYFA"/>
      <sheetName val="1_Summary"/>
      <sheetName val="Kullanilan_Kodlar"/>
      <sheetName val="Data_Validation"/>
      <sheetName val="ARGUS"/>
      <sheetName val="Finansal tamamlanma Eğrisi"/>
      <sheetName val="Sheet2"/>
      <sheetName val="FitOutConfCentre"/>
      <sheetName val="Katalog"/>
      <sheetName val="Veri DB"/>
      <sheetName val="Activities"/>
      <sheetName val="Org chart Data"/>
      <sheetName val="Listeler"/>
      <sheetName val="DB"/>
      <sheetName val="Letter Codes"/>
      <sheetName val="legend"/>
      <sheetName val="Rapor_Kapsamı2"/>
      <sheetName val="PM_Raporu2"/>
      <sheetName val="Proje_Bilgi2"/>
      <sheetName val="D_Hak_Rapor_(TL)2"/>
      <sheetName val="D_Hak_Rapor_(DM)2"/>
      <sheetName val="_N_Finansal_Eğri4"/>
      <sheetName val="K_Fiziksel_Eğri2"/>
      <sheetName val="B_Alacak2"/>
      <sheetName val="B_Borc2"/>
      <sheetName val="Perso_Durum2"/>
      <sheetName val="Perso_Mali2"/>
      <sheetName val="Proje_Aylık_Faaliyet_Degerl_2"/>
      <sheetName val="Proje_Prog_Deg_Özeti2"/>
      <sheetName val="TL_Faaliyet_Deg2"/>
      <sheetName val="DM_Faaliyet_Deg2"/>
      <sheetName val="_N_Finansal_Eğri5"/>
      <sheetName val="_N_Finansal_E?ri2"/>
      <sheetName val="Rapor_08_-_Agustos_20032"/>
      <sheetName val="DIRECT_COST1"/>
      <sheetName val="Dokum_Yeri_Isimlendirme1"/>
      <sheetName val="14_Proje_Kodları1"/>
      <sheetName val="Proje_Kodları1"/>
      <sheetName val="02_Beton_Takip1"/>
      <sheetName val="Aktivite_Tipleri1"/>
      <sheetName val="Proje_Kodları_ve_İlerlemeler1"/>
      <sheetName val="ANA_SAYFA1"/>
      <sheetName val="1_Summary1"/>
      <sheetName val="Kullanilan_Kodlar1"/>
      <sheetName val="Data_Validation1"/>
      <sheetName val="Finansal_tamamlanma_Eğrisi"/>
      <sheetName val="TABLO-3"/>
      <sheetName val="Sayfa2"/>
      <sheetName val="DS-MİKTAR"/>
      <sheetName val="SUNUM ÖZET"/>
      <sheetName val="Control"/>
      <sheetName val="Info"/>
      <sheetName val="T"/>
      <sheetName val="Прочее"/>
      <sheetName val="Working data"/>
      <sheetName val="2016"/>
      <sheetName val="диагр освоения"/>
      <sheetName val="Kırılım"/>
      <sheetName val="YG Kırılım"/>
      <sheetName val="ekipman listesi"/>
      <sheetName val="Ozet"/>
      <sheetName val="LVL3"/>
      <sheetName val=" N Finansal E_ri"/>
      <sheetName val="_N_Finansal_E_ri"/>
      <sheetName val="1-G1"/>
      <sheetName val="LC Takip"/>
      <sheetName val="CC"/>
      <sheetName val="1C Katalog"/>
      <sheetName val="Rates"/>
      <sheetName val=" N Finansal _x000a_Eğri"/>
      <sheetName val="Kabuller"/>
      <sheetName val="Rapor_Kapsamı3"/>
      <sheetName val="PM_Raporu3"/>
      <sheetName val="Proje_Bilgi3"/>
      <sheetName val="D_Hak_Rapor_(TL)3"/>
      <sheetName val="D_Hak_Rapor_(DM)3"/>
      <sheetName val="_N_Finansal_Eğri6"/>
      <sheetName val="K_Fiziksel_Eğri3"/>
      <sheetName val="B_Alacak3"/>
      <sheetName val="B_Borc3"/>
      <sheetName val="Perso_Durum3"/>
      <sheetName val="Perso_Mali3"/>
      <sheetName val="Proje_Aylık_Faaliyet_Degerl_3"/>
      <sheetName val="Proje_Prog_Deg_Özeti3"/>
      <sheetName val="TL_Faaliyet_Deg3"/>
      <sheetName val="DM_Faaliyet_Deg3"/>
      <sheetName val="_N_Finansal_Eğri7"/>
      <sheetName val="_N_Finansal_E?ri3"/>
      <sheetName val="Rapor_08_-_Agustos_20033"/>
      <sheetName val="DIRECT_COST2"/>
      <sheetName val="Dokum_Yeri_Isimlendirme2"/>
      <sheetName val="ANA_SAYFA2"/>
      <sheetName val="14_Proje_Kodları2"/>
      <sheetName val="Proje_Kodları2"/>
      <sheetName val="02_Beton_Takip2"/>
      <sheetName val="Aktivite_Tipleri2"/>
      <sheetName val="Proje_Kodları_ve_İlerlemeler2"/>
      <sheetName val="1_Summary2"/>
      <sheetName val="Kullanilan_Kodlar2"/>
      <sheetName val="Data_Validation2"/>
      <sheetName val="Finansal_tamamlanma_Eğrisi1"/>
      <sheetName val="Veri_DB"/>
      <sheetName val="SUNUM_ÖZET"/>
      <sheetName val="Org_chart_Data"/>
      <sheetName val="_N_Finansal_E_ri1"/>
      <sheetName val="Letter_Codes"/>
      <sheetName val="Working_data"/>
      <sheetName val=" N Finansal _x000d_Eğri"/>
      <sheetName val="Лист1"/>
      <sheetName val="Rapor_Kapsamı4"/>
      <sheetName val="PM_Raporu4"/>
      <sheetName val="Proje_Bilgi4"/>
      <sheetName val="D_Hak_Rapor_(TL)4"/>
      <sheetName val="D_Hak_Rapor_(DM)4"/>
      <sheetName val="_N_Finansal_Eğri8"/>
      <sheetName val="K_Fiziksel_Eğri4"/>
      <sheetName val="B_Alacak4"/>
      <sheetName val="B_Borc4"/>
      <sheetName val="Perso_Durum4"/>
      <sheetName val="Perso_Mali4"/>
      <sheetName val="Proje_Aylık_Faaliyet_Degerl_4"/>
      <sheetName val="Proje_Prog_Deg_Özeti4"/>
      <sheetName val="TL_Faaliyet_Deg4"/>
      <sheetName val="DM_Faaliyet_Deg4"/>
      <sheetName val="_N_Finansal_Eğri9"/>
      <sheetName val="Rapor_08_-_Agustos_20034"/>
      <sheetName val="_N_Finansal_E?ri4"/>
      <sheetName val="DIRECT_COST3"/>
      <sheetName val="Dokum_Yeri_Isimlendirme3"/>
      <sheetName val="ANA_SAYFA3"/>
      <sheetName val="14_Proje_Kodları3"/>
      <sheetName val="Proje_Kodları3"/>
      <sheetName val="02_Beton_Takip3"/>
      <sheetName val="Aktivite_Tipleri3"/>
      <sheetName val="Proje_Kodları_ve_İlerlemeler3"/>
      <sheetName val="1_Summary3"/>
      <sheetName val="Kullanilan_Kodlar3"/>
      <sheetName val="Data_Validation3"/>
      <sheetName val="SUNUM_ÖZET1"/>
      <sheetName val="Finansal_tamamlanma_Eğrisi2"/>
      <sheetName val="Veri_DB1"/>
      <sheetName val="Org_chart_Data1"/>
      <sheetName val="Working_data1"/>
      <sheetName val="_N_Finansal_E_ri2"/>
      <sheetName val="Letter_Codes1"/>
      <sheetName val="диагр_освоения"/>
      <sheetName val="ekipman_listesi"/>
      <sheetName val="LC_Takip"/>
      <sheetName val="YG_Kırılım"/>
      <sheetName val="Query Table"/>
      <sheetName val="Validation Lists"/>
      <sheetName val="VL-Day"/>
      <sheetName val="VL-Night"/>
      <sheetName val="xx. Data Input"/>
      <sheetName val="Equipment"/>
      <sheetName val="MCBR"/>
      <sheetName val="LISTE VE KONTROL"/>
      <sheetName val="GRSummary"/>
      <sheetName val="EQT-ESTN"/>
      <sheetName val="Data"/>
      <sheetName val="Свод оплат по выборкам"/>
      <sheetName val="список"/>
      <sheetName val="1-Toplam Gelir-Gider"/>
      <sheetName val="B03"/>
      <sheetName val="OpexBudgetCodes"/>
      <sheetName val="ПЛАН ОПЛАТ"/>
      <sheetName val="Sheet5"/>
      <sheetName val="Share Price 2002"/>
      <sheetName val="B09.1"/>
      <sheetName val="Rapor_Kapsamı5"/>
      <sheetName val="PM_Raporu5"/>
      <sheetName val="Proje_Bilgi5"/>
      <sheetName val="D_Hak_Rapor_(TL)5"/>
      <sheetName val="D_Hak_Rapor_(DM)5"/>
      <sheetName val="_N_Finansal_Eğri10"/>
      <sheetName val="K_Fiziksel_Eğri5"/>
      <sheetName val="B_Alacak5"/>
      <sheetName val="B_Borc5"/>
      <sheetName val="Perso_Durum5"/>
      <sheetName val="Perso_Mali5"/>
      <sheetName val="Proje_Aylık_Faaliyet_Degerl_5"/>
      <sheetName val="Proje_Prog_Deg_Özeti5"/>
      <sheetName val="TL_Faaliyet_Deg5"/>
      <sheetName val="DM_Faaliyet_Deg5"/>
      <sheetName val="_N_Finansal_Eğri11"/>
      <sheetName val="Rapor_08_-_Agustos_20035"/>
      <sheetName val="_N_Finansal_E?ri5"/>
      <sheetName val="DIRECT_COST4"/>
      <sheetName val="Dokum_Yeri_Isimlendirme4"/>
      <sheetName val="ANA_SAYFA4"/>
      <sheetName val="14_Proje_Kodları4"/>
      <sheetName val="Proje_Kodları4"/>
      <sheetName val="02_Beton_Takip4"/>
      <sheetName val="Aktivite_Tipleri4"/>
      <sheetName val="Proje_Kodları_ve_İlerlemeler4"/>
      <sheetName val="1_Summary4"/>
      <sheetName val="Kullanilan_Kodlar4"/>
      <sheetName val="Data_Validation4"/>
      <sheetName val="SUNUM_ÖZET2"/>
      <sheetName val="Finansal_tamamlanma_Eğrisi3"/>
      <sheetName val="Veri_DB2"/>
      <sheetName val="Org_chart_Data2"/>
      <sheetName val="Working_data2"/>
      <sheetName val="_N_Finansal_E_ri3"/>
      <sheetName val="Letter_Codes2"/>
      <sheetName val="диагр_освоения1"/>
      <sheetName val="ekipman_listesi1"/>
      <sheetName val="LC_Takip1"/>
      <sheetName val="YG_Kırılım1"/>
      <sheetName val="SEX"/>
      <sheetName val="B"/>
      <sheetName val="BQMPALOC"/>
      <sheetName val="97 사업추정(WEKI)"/>
      <sheetName val="Macro1"/>
      <sheetName val="Attach 4-18"/>
      <sheetName val="95삼성급(본사)"/>
      <sheetName val="Исполнение-нулевой отчет"/>
      <sheetName val="PriceSummary"/>
      <sheetName val="RAPOR1_İMALAT İLERLEME"/>
      <sheetName val="KRITER TABLOSU"/>
      <sheetName val="Cover"/>
      <sheetName val="ZAYIF AKIM KESFI"/>
      <sheetName val="производство"/>
      <sheetName val="Raw Data"/>
      <sheetName val="CAT_5"/>
      <sheetName val="TEKLİF - BOQ"/>
      <sheetName val="CARPAN"/>
      <sheetName val="Rate Analysis"/>
      <sheetName val="input"/>
      <sheetName val=" N Finansal _x005f_x000a_Eğri"/>
      <sheetName val="GRAPH_DATA"/>
      <sheetName val="TESİSAT"/>
      <sheetName val="B. Fiyatlar"/>
      <sheetName val="imalat iç sayfa"/>
      <sheetName val="_N_Finansal_E_ri4"/>
      <sheetName val=" N Finansal _Eğri"/>
      <sheetName val="PROGRAM"/>
      <sheetName val="CASHFLOW"/>
      <sheetName val="AOP Summary-2"/>
      <sheetName val="sal"/>
      <sheetName val="Revenue Calculation"/>
      <sheetName val="산근"/>
      <sheetName val="Cash2"/>
      <sheetName val="경비"/>
      <sheetName val=" N Finansal _x005f_x000d_Eğri"/>
      <sheetName val="_N_Finansal_E_ri5"/>
      <sheetName val="İhzar"/>
      <sheetName val="Analiz-dec"/>
      <sheetName val="PROCURE"/>
      <sheetName val="Sheet1"/>
      <sheetName val="tahakkuk müzekkeresi_1"/>
      <sheetName val="SUMMARY BQ"/>
      <sheetName val="YBF5"/>
      <sheetName val="Rapor_Kapsamı6"/>
      <sheetName val="PM_Raporu6"/>
      <sheetName val="Proje_Bilgi6"/>
      <sheetName val="D_Hak_Rapor_(TL)6"/>
      <sheetName val="D_Hak_Rapor_(DM)6"/>
      <sheetName val="_N_Finansal_Eğri12"/>
      <sheetName val="K_Fiziksel_Eğri6"/>
      <sheetName val="B_Alacak6"/>
      <sheetName val="B_Borc6"/>
      <sheetName val="Perso_Durum6"/>
      <sheetName val="Perso_Mali6"/>
      <sheetName val="Proje_Aylık_Faaliyet_Degerl_6"/>
      <sheetName val="Proje_Prog_Deg_Özeti6"/>
      <sheetName val="TL_Faaliyet_Deg6"/>
      <sheetName val="DM_Faaliyet_Deg6"/>
      <sheetName val="_N_Finansal_Eğri13"/>
      <sheetName val="_N_Finansal_E?ri6"/>
      <sheetName val="Rapor_08_-_Agustos_20036"/>
      <sheetName val="DIRECT_COST5"/>
      <sheetName val="Dokum_Yeri_Isimlendirme5"/>
      <sheetName val="ANA_SAYFA5"/>
      <sheetName val="14_Proje_Kodları5"/>
      <sheetName val="Proje_Kodları5"/>
      <sheetName val="02_Beton_Takip5"/>
      <sheetName val="Aktivite_Tipleri5"/>
      <sheetName val="Proje_Kodları_ve_İlerlemeler5"/>
      <sheetName val="1_Summary5"/>
      <sheetName val="Kullanilan_Kodlar5"/>
      <sheetName val="Data_Validation5"/>
      <sheetName val="Finansal_tamamlanma_Eğrisi4"/>
      <sheetName val="Org_chart_Data3"/>
      <sheetName val="Veri_DB3"/>
      <sheetName val="Letter_Codes3"/>
      <sheetName val="диагр_освоения2"/>
      <sheetName val="SUNUM_ÖZET3"/>
      <sheetName val="Working_data3"/>
      <sheetName val="ekipman_listesi2"/>
      <sheetName val="YG_Kırılım2"/>
      <sheetName val="LC_Takip2"/>
      <sheetName val="1C_Katalog"/>
      <sheetName val="_N_Finansal__x000a_Eğri"/>
      <sheetName val="Query_Table"/>
      <sheetName val="Validation_Lists"/>
      <sheetName val="xx__Data_Input"/>
      <sheetName val="LISTE_VE_KONTROL"/>
      <sheetName val="Свод_оплат_по_выборкам"/>
      <sheetName val="1-Toplam_Gelir-Gider"/>
      <sheetName val="ПЛАН_ОПЛАТ"/>
      <sheetName val="Share_Price_2002"/>
      <sheetName val="B09_1"/>
      <sheetName val="97_사업추정(WEKI)"/>
      <sheetName val="Attach_4-18"/>
      <sheetName val="Исполнение-нулевой_отчет"/>
      <sheetName val="Summ"/>
      <sheetName val="LİSTE FİYATLARI"/>
      <sheetName val="Z"/>
      <sheetName val="Workings"/>
      <sheetName val="Inputs"/>
      <sheetName val="MAZOT TAKIBI"/>
      <sheetName val="Satir Bazli Odeme Listesi"/>
      <sheetName val="Кедровский"/>
      <sheetName val="icmal  "/>
      <sheetName val="COEF"/>
      <sheetName val="Dİ-RUS"/>
      <sheetName val="вспомогательный лист"/>
      <sheetName val="icmal"/>
      <sheetName val="ÇALIŞMA İCMALİ"/>
      <sheetName val="13-İŞGÜCÜ.HİSTOGRAM'03"/>
      <sheetName val="ESCON"/>
      <sheetName val="Option"/>
      <sheetName val="Vehicles"/>
      <sheetName val="Tanimlar"/>
      <sheetName val="sch"/>
      <sheetName val="LTQ"/>
      <sheetName val="Parameters"/>
      <sheetName val="CELIK Poz No-6.11.2"/>
      <sheetName val="Sayfa1"/>
      <sheetName val="#REF"/>
      <sheetName val="Rapor_Kapsamı7"/>
      <sheetName val="PM_Raporu7"/>
      <sheetName val="Proje_Bilgi7"/>
      <sheetName val="D_Hak_Rapor_(TL)7"/>
      <sheetName val="D_Hak_Rapor_(DM)7"/>
      <sheetName val="_N_Finansal_Eğri14"/>
      <sheetName val="K_Fiziksel_Eğri7"/>
      <sheetName val="B_Alacak7"/>
      <sheetName val="B_Borc7"/>
      <sheetName val="Perso_Durum7"/>
      <sheetName val="Perso_Mali7"/>
      <sheetName val="Proje_Aylık_Faaliyet_Degerl_7"/>
      <sheetName val="Proje_Prog_Deg_Özeti7"/>
      <sheetName val="TL_Faaliyet_Deg7"/>
      <sheetName val="DM_Faaliyet_Deg7"/>
      <sheetName val="_N_Finansal_Eğri15"/>
      <sheetName val="_N_Finansal_E?ri7"/>
      <sheetName val="Rapor_08_-_Agustos_20037"/>
      <sheetName val="DIRECT_COST6"/>
      <sheetName val="Dokum_Yeri_Isimlendirme6"/>
      <sheetName val="ANA_SAYFA6"/>
      <sheetName val="14_Proje_Kodları6"/>
      <sheetName val="Proje_Kodları6"/>
      <sheetName val="02_Beton_Takip6"/>
      <sheetName val="Aktivite_Tipleri6"/>
      <sheetName val="Proje_Kodları_ve_İlerlemeler6"/>
      <sheetName val="1_Summary6"/>
      <sheetName val="Kullanilan_Kodlar6"/>
      <sheetName val="Data_Validation6"/>
      <sheetName val="Finansal_tamamlanma_Eğrisi5"/>
      <sheetName val="Veri_DB4"/>
      <sheetName val="SUNUM_ÖZET4"/>
      <sheetName val="Org_chart_Data4"/>
      <sheetName val="Working_data4"/>
      <sheetName val="_N_Finansal_E_ri6"/>
      <sheetName val="Letter_Codes4"/>
      <sheetName val="диагр_освоения3"/>
      <sheetName val="ekipman_listesi3"/>
      <sheetName val="LC_Takip3"/>
      <sheetName val="YG_Kırılım3"/>
      <sheetName val="Query_Table1"/>
      <sheetName val="Validation_Lists1"/>
      <sheetName val="1C_Katalog1"/>
      <sheetName val="_N_Finansal__x000a_Eğri1"/>
      <sheetName val="RAPOR1_İMALAT_İLERLEME"/>
      <sheetName val="xx__Data_Input1"/>
      <sheetName val="TEKLİF_-_BOQ"/>
      <sheetName val="Rate_Analysis"/>
      <sheetName val="_N_Finansal__x005f_x000a_Eğri"/>
      <sheetName val="B__Fiyatlar"/>
      <sheetName val="imalat_iç_sayfa"/>
      <sheetName val="LISTE_VE_KONTROL1"/>
      <sheetName val="Свод_оплат_по_выборкам1"/>
      <sheetName val="97_사업추정(WEKI)1"/>
      <sheetName val="Attach_4-181"/>
      <sheetName val="1-Toplam_Gelir-Gider1"/>
      <sheetName val="_N_Finansal__Eğri"/>
      <sheetName val="ПЛАН_ОПЛАТ1"/>
      <sheetName val="Share_Price_20021"/>
      <sheetName val="B09_11"/>
      <sheetName val="Исполнение-нулевой_отчет1"/>
      <sheetName val="tahakkuk_müzekkeresi_1"/>
      <sheetName val="SUMMARY_BQ"/>
      <sheetName val="KRITER_TABLOSU"/>
      <sheetName val="AOP_Summary-2"/>
      <sheetName val="LİSTE_FİYATLARI"/>
      <sheetName val="Revenue_Calculation"/>
      <sheetName val="13-İŞGÜCÜ_HİSTOGRAM'03"/>
      <sheetName val="Raw_Data"/>
      <sheetName val="ZAYIF_AKIM_KESFI"/>
      <sheetName val="ÇALIŞMA_İCMALİ"/>
      <sheetName val="_N_Finansal__x005f_x000d_Eğri"/>
      <sheetName val="MAZOT_TAKIBI"/>
      <sheetName val="Satir_Bazli_Odeme_Listesi"/>
      <sheetName val="icmal__"/>
      <sheetName val="вспомогательный_лист"/>
      <sheetName val="CELIK_Poz_No-6_11_2"/>
      <sheetName val="Rapor_Kapsamı8"/>
      <sheetName val="PM_Raporu8"/>
      <sheetName val="Proje_Bilgi8"/>
      <sheetName val="D_Hak_Rapor_(TL)8"/>
      <sheetName val="D_Hak_Rapor_(DM)8"/>
      <sheetName val="_N_Finansal_Eğri16"/>
      <sheetName val="K_Fiziksel_Eğri8"/>
      <sheetName val="B_Alacak8"/>
      <sheetName val="B_Borc8"/>
      <sheetName val="Perso_Durum8"/>
      <sheetName val="Perso_Mali8"/>
      <sheetName val="Proje_Aylık_Faaliyet_Degerl_8"/>
      <sheetName val="Proje_Prog_Deg_Özeti8"/>
      <sheetName val="TL_Faaliyet_Deg8"/>
      <sheetName val="DM_Faaliyet_Deg8"/>
      <sheetName val="_N_Finansal_Eğri17"/>
      <sheetName val="_N_Finansal_E?ri8"/>
      <sheetName val="Rapor_08_-_Agustos_20038"/>
      <sheetName val="DIRECT_COST7"/>
      <sheetName val="Dokum_Yeri_Isimlendirme7"/>
      <sheetName val="ANA_SAYFA7"/>
      <sheetName val="14_Proje_Kodları7"/>
      <sheetName val="Proje_Kodları7"/>
      <sheetName val="02_Beton_Takip7"/>
      <sheetName val="Aktivite_Tipleri7"/>
      <sheetName val="Proje_Kodları_ve_İlerlemeler7"/>
      <sheetName val="1_Summary7"/>
      <sheetName val="Kullanilan_Kodlar7"/>
      <sheetName val="Data_Validation7"/>
      <sheetName val="SUNUM_ÖZET5"/>
      <sheetName val="Finansal_tamamlanma_Eğrisi6"/>
      <sheetName val="Veri_DB5"/>
      <sheetName val="Org_chart_Data5"/>
      <sheetName val="_N_Finansal_E_ri7"/>
      <sheetName val="Letter_Codes5"/>
      <sheetName val="Working_data5"/>
      <sheetName val="диагр_освоения4"/>
      <sheetName val="ekipman_listesi4"/>
      <sheetName val="LC_Takip4"/>
      <sheetName val="YG_Kırılım4"/>
      <sheetName val="Query_Table2"/>
      <sheetName val="Validation_Lists2"/>
      <sheetName val="1C_Katalog2"/>
      <sheetName val="_N_Finansal__x000a_Eğri2"/>
      <sheetName val="RAPOR1_İMALAT_İLERLEME1"/>
      <sheetName val="_N_Finansal__x005f_x000a_Eğri1"/>
      <sheetName val="TEKLİF_-_BOQ1"/>
      <sheetName val="xx__Data_Input2"/>
      <sheetName val="Rate_Analysis1"/>
      <sheetName val="B__Fiyatlar1"/>
      <sheetName val="imalat_iç_sayfa1"/>
      <sheetName val="_N_Finansal__Eğri1"/>
      <sheetName val="LISTE_VE_KONTROL2"/>
      <sheetName val="Свод_оплат_по_выборкам2"/>
      <sheetName val="97_사업추정(WEKI)2"/>
      <sheetName val="Attach_4-182"/>
      <sheetName val="1-Toplam_Gelir-Gider2"/>
      <sheetName val="ПЛАН_ОПЛАТ2"/>
      <sheetName val="Share_Price_20022"/>
      <sheetName val="B09_12"/>
      <sheetName val="Исполнение-нулевой_отчет2"/>
      <sheetName val="KRITER_TABLOSU1"/>
      <sheetName val="AOP_Summary-21"/>
      <sheetName val="tahakkuk_müzekkeresi_11"/>
      <sheetName val="SUMMARY_BQ1"/>
      <sheetName val="LİSTE_FİYATLARI1"/>
      <sheetName val="13-İŞGÜCÜ_HİSTOGRAM'031"/>
      <sheetName val="Revenue_Calculation1"/>
      <sheetName val="Raw_Data1"/>
      <sheetName val="ZAYIF_AKIM_KESFI1"/>
      <sheetName val="ÇALIŞMA_İCMALİ1"/>
      <sheetName val="_N_Finansal__x005f_x000d_Eğri1"/>
      <sheetName val="MAZOT_TAKIBI1"/>
      <sheetName val="Satir_Bazli_Odeme_Listesi1"/>
      <sheetName val="icmal__1"/>
      <sheetName val="вспомогательный_лист1"/>
      <sheetName val="CELIK_Poz_No-6_11_21"/>
      <sheetName val="Siyah Fittings"/>
      <sheetName val="YEVMİYE"/>
      <sheetName val="Rapor_Kapsamı10"/>
      <sheetName val="PM_Raporu10"/>
      <sheetName val="Proje_Bilgi10"/>
      <sheetName val="D_Hak_Rapor_(TL)10"/>
      <sheetName val="D_Hak_Rapor_(DM)10"/>
      <sheetName val="_N_Finansal_Eğri20"/>
      <sheetName val="K_Fiziksel_Eğri10"/>
      <sheetName val="B_Alacak10"/>
      <sheetName val="B_Borc10"/>
      <sheetName val="Perso_Durum10"/>
      <sheetName val="Perso_Mali10"/>
      <sheetName val="Proje_Aylık_Faaliyet_Degerl_10"/>
      <sheetName val="Proje_Prog_Deg_Özeti10"/>
      <sheetName val="TL_Faaliyet_Deg10"/>
      <sheetName val="DM_Faaliyet_Deg10"/>
      <sheetName val="_N_Finansal_Eğri21"/>
      <sheetName val="_N_Finansal_E?ri10"/>
      <sheetName val="Rapor_08_-_Agustos_200310"/>
      <sheetName val="DIRECT_COST9"/>
      <sheetName val="Dokum_Yeri_Isimlendirme9"/>
      <sheetName val="ANA_SAYFA9"/>
      <sheetName val="14_Proje_Kodları9"/>
      <sheetName val="Proje_Kodları9"/>
      <sheetName val="02_Beton_Takip9"/>
      <sheetName val="Aktivite_Tipleri9"/>
      <sheetName val="Proje_Kodları_ve_İlerlemeler9"/>
      <sheetName val="1_Summary9"/>
      <sheetName val="Kullanilan_Kodlar9"/>
      <sheetName val="Data_Validation9"/>
      <sheetName val="SUNUM_ÖZET7"/>
      <sheetName val="Finansal_tamamlanma_Eğrisi8"/>
      <sheetName val="Veri_DB7"/>
      <sheetName val="Org_chart_Data7"/>
      <sheetName val="_N_Finansal_E_ri9"/>
      <sheetName val="Letter_Codes7"/>
      <sheetName val="Working_data7"/>
      <sheetName val="диагр_освоения6"/>
      <sheetName val="ekipman_listesi6"/>
      <sheetName val="LC_Takip6"/>
      <sheetName val="YG_Kırılım6"/>
      <sheetName val="Query_Table4"/>
      <sheetName val="Validation_Lists4"/>
      <sheetName val="1C_Katalog4"/>
      <sheetName val="_N_Finansal__x000a_Eğri4"/>
      <sheetName val="RAPOR1_İMALAT_İLERLEME3"/>
      <sheetName val="_N_Finansal__x005f_x000a_Eğri3"/>
      <sheetName val="TEKLİF_-_BOQ3"/>
      <sheetName val="xx__Data_Input4"/>
      <sheetName val="Rate_Analysis3"/>
      <sheetName val="B__Fiyatlar3"/>
      <sheetName val="imalat_iç_sayfa3"/>
      <sheetName val="_N_Finansal__Eğri3"/>
      <sheetName val="LISTE_VE_KONTROL4"/>
      <sheetName val="Свод_оплат_по_выборкам4"/>
      <sheetName val="97_사업추정(WEKI)4"/>
      <sheetName val="Attach_4-184"/>
      <sheetName val="1-Toplam_Gelir-Gider4"/>
      <sheetName val="ПЛАН_ОПЛАТ4"/>
      <sheetName val="Share_Price_20024"/>
      <sheetName val="B09_14"/>
      <sheetName val="Исполнение-нулевой_отчет4"/>
      <sheetName val="KRITER_TABLOSU3"/>
      <sheetName val="AOP_Summary-23"/>
      <sheetName val="tahakkuk_müzekkeresi_13"/>
      <sheetName val="SUMMARY_BQ3"/>
      <sheetName val="LİSTE_FİYATLARI3"/>
      <sheetName val="13-İŞGÜCÜ_HİSTOGRAM'033"/>
      <sheetName val="Revenue_Calculation3"/>
      <sheetName val="Raw_Data3"/>
      <sheetName val="ZAYIF_AKIM_KESFI3"/>
      <sheetName val="ÇALIŞMA_İCMALİ3"/>
      <sheetName val="_N_Finansal__x005f_x000d_Eğri3"/>
      <sheetName val="MAZOT_TAKIBI3"/>
      <sheetName val="Satir_Bazli_Odeme_Listesi3"/>
      <sheetName val="icmal__3"/>
      <sheetName val="вспомогательный_лист3"/>
      <sheetName val="CELIK_Poz_No-6_11_23"/>
      <sheetName val="Rapor_Kapsamı9"/>
      <sheetName val="PM_Raporu9"/>
      <sheetName val="Proje_Bilgi9"/>
      <sheetName val="D_Hak_Rapor_(TL)9"/>
      <sheetName val="D_Hak_Rapor_(DM)9"/>
      <sheetName val="_N_Finansal_Eğri18"/>
      <sheetName val="K_Fiziksel_Eğri9"/>
      <sheetName val="B_Alacak9"/>
      <sheetName val="B_Borc9"/>
      <sheetName val="Perso_Durum9"/>
      <sheetName val="Perso_Mali9"/>
      <sheetName val="Proje_Aylık_Faaliyet_Degerl_9"/>
      <sheetName val="Proje_Prog_Deg_Özeti9"/>
      <sheetName val="TL_Faaliyet_Deg9"/>
      <sheetName val="DM_Faaliyet_Deg9"/>
      <sheetName val="_N_Finansal_Eğri19"/>
      <sheetName val="_N_Finansal_E?ri9"/>
      <sheetName val="Rapor_08_-_Agustos_20039"/>
      <sheetName val="DIRECT_COST8"/>
      <sheetName val="Dokum_Yeri_Isimlendirme8"/>
      <sheetName val="ANA_SAYFA8"/>
      <sheetName val="14_Proje_Kodları8"/>
      <sheetName val="Proje_Kodları8"/>
      <sheetName val="02_Beton_Takip8"/>
      <sheetName val="Aktivite_Tipleri8"/>
      <sheetName val="Proje_Kodları_ve_İlerlemeler8"/>
      <sheetName val="1_Summary8"/>
      <sheetName val="Kullanilan_Kodlar8"/>
      <sheetName val="Data_Validation8"/>
      <sheetName val="SUNUM_ÖZET6"/>
      <sheetName val="Finansal_tamamlanma_Eğrisi7"/>
      <sheetName val="Veri_DB6"/>
      <sheetName val="Org_chart_Data6"/>
      <sheetName val="_N_Finansal_E_ri8"/>
      <sheetName val="Letter_Codes6"/>
      <sheetName val="Working_data6"/>
      <sheetName val="диагр_освоения5"/>
      <sheetName val="ekipman_listesi5"/>
      <sheetName val="LC_Takip5"/>
      <sheetName val="YG_Kırılım5"/>
      <sheetName val="Query_Table3"/>
      <sheetName val="Validation_Lists3"/>
      <sheetName val="1C_Katalog3"/>
      <sheetName val="_N_Finansal__x000a_Eğri3"/>
      <sheetName val="RAPOR1_İMALAT_İLERLEME2"/>
      <sheetName val="_N_Finansal__x005f_x000a_Eğri2"/>
      <sheetName val="TEKLİF_-_BOQ2"/>
      <sheetName val="xx__Data_Input3"/>
      <sheetName val="Rate_Analysis2"/>
      <sheetName val="B__Fiyatlar2"/>
      <sheetName val="imalat_iç_sayfa2"/>
      <sheetName val="_N_Finansal__Eğri2"/>
      <sheetName val="LISTE_VE_KONTROL3"/>
      <sheetName val="Свод_оплат_по_выборкам3"/>
      <sheetName val="97_사업추정(WEKI)3"/>
      <sheetName val="Attach_4-183"/>
      <sheetName val="1-Toplam_Gelir-Gider3"/>
      <sheetName val="ПЛАН_ОПЛАТ3"/>
      <sheetName val="Share_Price_20023"/>
      <sheetName val="B09_13"/>
      <sheetName val="Исполнение-нулевой_отчет3"/>
      <sheetName val="KRITER_TABLOSU2"/>
      <sheetName val="AOP_Summary-22"/>
      <sheetName val="tahakkuk_müzekkeresi_12"/>
      <sheetName val="SUMMARY_BQ2"/>
      <sheetName val="LİSTE_FİYATLARI2"/>
      <sheetName val="13-İŞGÜCÜ_HİSTOGRAM'032"/>
      <sheetName val="Revenue_Calculation2"/>
      <sheetName val="Raw_Data2"/>
      <sheetName val="ZAYIF_AKIM_KESFI2"/>
      <sheetName val="ÇALIŞMA_İCMALİ2"/>
      <sheetName val="_N_Finansal__x005f_x000d_Eğri2"/>
      <sheetName val="MAZOT_TAKIBI2"/>
      <sheetName val="Satir_Bazli_Odeme_Listesi2"/>
      <sheetName val="icmal__2"/>
      <sheetName val="вспомогательный_лист2"/>
      <sheetName val="CELIK_Poz_No-6_11_22"/>
      <sheetName val="Справочники"/>
      <sheetName val="INCOMING"/>
      <sheetName val="расценки"/>
      <sheetName val="НАКОПИТ"/>
      <sheetName val="Списки"/>
      <sheetName val="dolar"/>
      <sheetName val="입찰내역 발주처 양식"/>
      <sheetName val="Code03"/>
      <sheetName val="Summary"/>
      <sheetName val="CA"/>
      <sheetName val="C1"/>
      <sheetName val="D"/>
      <sheetName val="D.I"/>
      <sheetName val="BF2001"/>
      <sheetName val="Msw-study"/>
      <sheetName val="DRUM"/>
      <sheetName val="Table"/>
      <sheetName val="Kaynak"/>
      <sheetName val="F4-F7"/>
      <sheetName val="기계내역서"/>
      <sheetName val="Rapor_Kapsamı11"/>
      <sheetName val="PM_Raporu11"/>
      <sheetName val="Proje_Bilgi11"/>
      <sheetName val="D_Hak_Rapor_(TL)11"/>
      <sheetName val="D_Hak_Rapor_(DM)11"/>
      <sheetName val="_N_Finansal_Eğri22"/>
      <sheetName val="K_Fiziksel_Eğri11"/>
      <sheetName val="B_Alacak11"/>
      <sheetName val="B_Borc11"/>
      <sheetName val="Perso_Durum11"/>
      <sheetName val="Perso_Mali11"/>
      <sheetName val="Proje_Aylık_Faaliyet_Degerl_11"/>
      <sheetName val="Proje_Prog_Deg_Özeti11"/>
      <sheetName val="TL_Faaliyet_Deg11"/>
      <sheetName val="DM_Faaliyet_Deg11"/>
      <sheetName val="_N_Finansal_Eğri23"/>
      <sheetName val="_N_Finansal_E?ri11"/>
      <sheetName val="Rapor_08_-_Agustos_200311"/>
      <sheetName val="DIRECT_COST10"/>
      <sheetName val="Dokum_Yeri_Isimlendirme10"/>
      <sheetName val="ANA_SAYFA10"/>
      <sheetName val="14_Proje_Kodları10"/>
      <sheetName val="Proje_Kodları10"/>
      <sheetName val="02_Beton_Takip10"/>
      <sheetName val="Aktivite_Tipleri10"/>
      <sheetName val="Proje_Kodları_ve_İlerlemeler10"/>
      <sheetName val="1_Summary10"/>
      <sheetName val="Kullanilan_Kodlar10"/>
      <sheetName val="Data_Validation10"/>
      <sheetName val="Finansal_tamamlanma_Eğrisi9"/>
      <sheetName val="Org_chart_Data8"/>
      <sheetName val="Veri_DB8"/>
      <sheetName val="Letter_Codes8"/>
      <sheetName val="SUNUM_ÖZET8"/>
      <sheetName val="_N_Finansal_E_ri10"/>
      <sheetName val="Working_data8"/>
      <sheetName val="диагр_освоения7"/>
      <sheetName val="YG_Kırılım7"/>
      <sheetName val="ekipman_listesi7"/>
      <sheetName val="LC_Takip7"/>
      <sheetName val="1C_Katalog5"/>
      <sheetName val="_N_Finansal__x000a_Eğri5"/>
      <sheetName val="Query_Table5"/>
      <sheetName val="Validation_Lists5"/>
      <sheetName val="xx__Data_Input5"/>
      <sheetName val="Share_Price_20025"/>
      <sheetName val="LISTE_VE_KONTROL5"/>
      <sheetName val="Свод_оплат_по_выборкам5"/>
      <sheetName val="B09_15"/>
      <sheetName val="1-Toplam_Gelir-Gider5"/>
      <sheetName val="ПЛАН_ОПЛАТ5"/>
      <sheetName val="97_사업추정(WEKI)5"/>
      <sheetName val="Attach_4-185"/>
      <sheetName val="Исполнение-нулевой_отчет5"/>
      <sheetName val="Raw_Data4"/>
      <sheetName val="RAPOR1_İMALAT_İLERLEME4"/>
      <sheetName val="TEKLİF_-_BOQ4"/>
      <sheetName val="Rate_Analysis4"/>
      <sheetName val="_N_Finansal__x005f_x000a_Eğri4"/>
      <sheetName val="B__Fiyatlar4"/>
      <sheetName val="imalat_iç_sayfa4"/>
      <sheetName val="_N_Finansal__Eğri4"/>
      <sheetName val="AOP_Summary-24"/>
      <sheetName val="Revenue_Calculation4"/>
      <sheetName val="_N_Finansal__x005f_x000d_Eğri4"/>
      <sheetName val="вспомогательный_лист4"/>
      <sheetName val="tahakkuk_müzekkeresi_14"/>
      <sheetName val="SUMMARY_BQ4"/>
      <sheetName val="KRITER_TABLOSU4"/>
      <sheetName val="ZAYIF_AKIM_KESFI4"/>
      <sheetName val="MAZOT_TAKIBI4"/>
      <sheetName val="LİSTE_FİYATLARI4"/>
      <sheetName val="Satir_Bazli_Odeme_Listesi4"/>
      <sheetName val="icmal__4"/>
      <sheetName val="ÇALIŞMA_İCMALİ4"/>
      <sheetName val="13-İŞGÜCÜ_HİSTOGRAM'034"/>
      <sheetName val="CELIK_Poz_No-6_11_24"/>
      <sheetName val="Siyah_Fittings"/>
      <sheetName val="DIL4"/>
      <sheetName val="villa"/>
      <sheetName val="一発シート"/>
      <sheetName val="L-Mechanical"/>
      <sheetName val="EnterData"/>
      <sheetName val="Легенда"/>
      <sheetName val="YEŞİL DEFTER (İNŞAAT )"/>
      <sheetName val="_N_Finansal__x000d_Eğri"/>
      <sheetName val="Стоимость сырья"/>
      <sheetName val="справочник"/>
      <sheetName val="Наём_справ"/>
      <sheetName val="Виды работ"/>
      <sheetName val="Цены"/>
      <sheetName val="усл обозн"/>
      <sheetName val="Фсч"/>
      <sheetName val="Справочник РУ"/>
      <sheetName val="Лист4"/>
      <sheetName val="Лист2"/>
      <sheetName val="Объекты"/>
      <sheetName val="Тарифы_2021г"/>
      <sheetName val="ТМЦ"/>
      <sheetName val="DEGISKENLER"/>
      <sheetName val="факт выполнение"/>
      <sheetName val="Доходы свод"/>
      <sheetName val="XZLC004_PART2"/>
      <sheetName val="报价单"/>
      <sheetName val="_x0000_etter_Codes7"/>
      <sheetName val="SakhNIPI5"/>
      <sheetName val="입찰내역_발주처_양식"/>
      <sheetName val="D_I"/>
      <sheetName val="Birim fiyatlar-2005"/>
      <sheetName val="Шкаф"/>
      <sheetName val="Коэфф1."/>
      <sheetName val="Прайс лист"/>
      <sheetName val="Гр5(о)"/>
      <sheetName val="_N_Finansal_E_ri11"/>
      <sheetName val="_N_Finansal__Eğri5"/>
      <sheetName val="PERSONNELIST"/>
      <sheetName val="安装新取费"/>
      <sheetName val="海盐加工装置"/>
      <sheetName val="内外控制表"/>
      <sheetName val="ГПР"/>
      <sheetName val="Стены и плинт"/>
      <sheetName val="Потолок"/>
      <sheetName val="HYDROTEST DIAGRAM"/>
      <sheetName val="breakdown"/>
      <sheetName val="Стоимость_сырья"/>
      <sheetName val="Виды_работ"/>
      <sheetName val="усл_обозн"/>
      <sheetName val="Справочник_РУ"/>
      <sheetName val="Rapor_Kapsamı12"/>
      <sheetName val="PM_Raporu12"/>
      <sheetName val="Proje_Bilgi12"/>
      <sheetName val="D_Hak_Rapor_(TL)12"/>
      <sheetName val="D_Hak_Rapor_(DM)12"/>
      <sheetName val="_N_Finansal_Eğri24"/>
      <sheetName val="K_Fiziksel_Eğri12"/>
      <sheetName val="B_Alacak12"/>
      <sheetName val="B_Borc12"/>
      <sheetName val="Perso_Durum12"/>
      <sheetName val="Perso_Mali12"/>
      <sheetName val="Proje_Aylık_Faaliyet_Degerl_12"/>
      <sheetName val="Proje_Prog_Deg_Özeti12"/>
      <sheetName val="TL_Faaliyet_Deg12"/>
      <sheetName val="DM_Faaliyet_Deg12"/>
      <sheetName val="_N_Finansal_Eğri25"/>
      <sheetName val="_N_Finansal_E?ri12"/>
      <sheetName val="Rapor_08_-_Agustos_200312"/>
      <sheetName val="DIRECT_COST11"/>
      <sheetName val="Dokum_Yeri_Isimlendirme11"/>
      <sheetName val="ANA_SAYFA11"/>
      <sheetName val="14_Proje_Kodları11"/>
      <sheetName val="Proje_Kodları11"/>
      <sheetName val="02_Beton_Takip11"/>
      <sheetName val="Aktivite_Tipleri11"/>
      <sheetName val="Proje_Kodları_ve_İlerlemeler11"/>
      <sheetName val="1_Summary11"/>
      <sheetName val="Kullanilan_Kodlar11"/>
      <sheetName val="Data_Validation11"/>
      <sheetName val="Finansal_tamamlanma_Eğrisi10"/>
      <sheetName val="Org_chart_Data9"/>
      <sheetName val="Veri_DB9"/>
      <sheetName val="Letter_Codes9"/>
      <sheetName val="SUNUM_ÖZET9"/>
      <sheetName val="Working_data9"/>
      <sheetName val="диагр_освоения8"/>
      <sheetName val="ekipman_listesi8"/>
      <sheetName val="LC_Takip8"/>
      <sheetName val="YG_Kırılım8"/>
      <sheetName val="_N_Finansal__x000a_Eğri6"/>
      <sheetName val="1C_Katalog6"/>
      <sheetName val="Query_Table6"/>
      <sheetName val="Validation_Lists6"/>
      <sheetName val="xx__Data_Input6"/>
      <sheetName val="LISTE_VE_KONTROL6"/>
      <sheetName val="Share_Price_20026"/>
      <sheetName val="Свод_оплат_по_выборкам6"/>
      <sheetName val="1-Toplam_Gelir-Gider6"/>
      <sheetName val="B09_16"/>
      <sheetName val="ПЛАН_ОПЛАТ6"/>
      <sheetName val="97_사업추정(WEKI)6"/>
      <sheetName val="Attach_4-186"/>
      <sheetName val="Исполнение-нулевой_отчет6"/>
      <sheetName val="RAPOR1_İMALAT_İLERLEME5"/>
      <sheetName val="Raw_Data5"/>
      <sheetName val="TEKLİF_-_BOQ5"/>
      <sheetName val="Rate_Analysis5"/>
      <sheetName val="_N_Finansal__x005f_x000a_Eğri5"/>
      <sheetName val="B__Fiyatlar5"/>
      <sheetName val="imalat_iç_sayfa5"/>
      <sheetName val="_N_Finansal__x005f_x000d_Eğri5"/>
      <sheetName val="вспомогательный_лист5"/>
      <sheetName val="tahakkuk_müzekkeresi_15"/>
      <sheetName val="SUMMARY_BQ5"/>
      <sheetName val="KRITER_TABLOSU5"/>
      <sheetName val="ZAYIF_AKIM_KESFI5"/>
      <sheetName val="AOP_Summary-25"/>
      <sheetName val="Revenue_Calculation5"/>
      <sheetName val="MAZOT_TAKIBI5"/>
      <sheetName val="LİSTE_FİYATLARI5"/>
      <sheetName val="Satir_Bazli_Odeme_Listesi5"/>
      <sheetName val="icmal__5"/>
      <sheetName val="ÇALIŞMA_İCMALİ5"/>
      <sheetName val="13-İŞGÜCÜ_HİSTOGRAM'035"/>
      <sheetName val="CELIK_Poz_No-6_11_25"/>
      <sheetName val="Siyah_Fittings1"/>
      <sheetName val="입찰내역_발주처_양식1"/>
      <sheetName val="D_I1"/>
      <sheetName val="Стоимость_сырья1"/>
      <sheetName val="Виды_работ1"/>
      <sheetName val="усл_обозн1"/>
      <sheetName val="Справочник_РУ1"/>
      <sheetName val="Анализ бункеров"/>
      <sheetName val="меп"/>
      <sheetName val="справочник ОС"/>
      <sheetName val="список объектов"/>
      <sheetName val="Лист3"/>
      <sheetName val="KM KANATLI"/>
      <sheetName val="FFARK MİK TABLOLARI"/>
      <sheetName val="KATSAYI"/>
      <sheetName val="12CGOU"/>
      <sheetName val="공문"/>
      <sheetName val="NOISE"/>
      <sheetName val="Tipo de Cambio"/>
      <sheetName val="재료비"/>
      <sheetName val=" N Finansal  Eğri"/>
      <sheetName val="HOC"/>
      <sheetName val="YEŞİL_DEFTER_(İNŞAAT_)"/>
      <sheetName val="Rapor_Kapsamı13"/>
      <sheetName val="PM_Raporu13"/>
      <sheetName val="Proje_Bilgi13"/>
      <sheetName val="D_Hak_Rapor_(TL)13"/>
      <sheetName val="D_Hak_Rapor_(DM)13"/>
      <sheetName val="_N_Finansal_Eğri26"/>
      <sheetName val="K_Fiziksel_Eğri13"/>
      <sheetName val="B_Alacak13"/>
      <sheetName val="B_Borc13"/>
      <sheetName val="Perso_Durum13"/>
      <sheetName val="Perso_Mali13"/>
      <sheetName val="Proje_Aylık_Faaliyet_Degerl_13"/>
      <sheetName val="Proje_Prog_Deg_Özeti13"/>
      <sheetName val="TL_Faaliyet_Deg13"/>
      <sheetName val="DM_Faaliyet_Deg13"/>
      <sheetName val="_N_Finansal_Eğri27"/>
      <sheetName val="_N_Finansal_E?ri13"/>
      <sheetName val="Rapor_08_-_Agustos_200313"/>
      <sheetName val="DIRECT_COST12"/>
      <sheetName val="Dokum_Yeri_Isimlendirme12"/>
      <sheetName val="ANA_SAYFA12"/>
      <sheetName val="14_Proje_Kodları12"/>
      <sheetName val="Proje_Kodları12"/>
      <sheetName val="02_Beton_Takip12"/>
      <sheetName val="Aktivite_Tipleri12"/>
      <sheetName val="Proje_Kodları_ve_İlerlemeler12"/>
      <sheetName val="1_Summary12"/>
      <sheetName val="Kullanilan_Kodlar12"/>
      <sheetName val="Data_Validation12"/>
      <sheetName val="Finansal_tamamlanma_Eğrisi11"/>
      <sheetName val="Org_chart_Data10"/>
      <sheetName val="Veri_DB10"/>
      <sheetName val="Letter_Codes10"/>
      <sheetName val="SUNUM_ÖZET10"/>
      <sheetName val="Working_data10"/>
      <sheetName val="диагр_освоения9"/>
      <sheetName val="ekipman_listesi9"/>
      <sheetName val="LC_Takip9"/>
      <sheetName val="_N_Finansal_E_ri12"/>
      <sheetName val="YG_Kırılım9"/>
      <sheetName val="_N_Finansal__x000a_Eğri7"/>
      <sheetName val="1C_Katalog7"/>
      <sheetName val="Query_Table7"/>
      <sheetName val="Validation_Lists7"/>
      <sheetName val="xx__Data_Input7"/>
      <sheetName val="LISTE_VE_KONTROL7"/>
      <sheetName val="Свод_оплат_по_выборкам7"/>
      <sheetName val="1-Toplam_Gelir-Gider7"/>
      <sheetName val="RAPOR1_İMALAT_İLERLEME6"/>
      <sheetName val="TEKLİF_-_BOQ6"/>
      <sheetName val="Rate_Analysis6"/>
      <sheetName val="Share_Price_20027"/>
      <sheetName val="B09_17"/>
      <sheetName val="ПЛАН_ОПЛАТ7"/>
      <sheetName val="97_사업추정(WEKI)7"/>
      <sheetName val="Attach_4-187"/>
      <sheetName val="Исполнение-нулевой_отчет7"/>
      <sheetName val="_N_Finansal__x005f_x000a_Eğri6"/>
      <sheetName val="B__Fiyatlar6"/>
      <sheetName val="imalat_iç_sayfa6"/>
      <sheetName val="_N_Finansal__Eğri6"/>
      <sheetName val="Raw_Data6"/>
      <sheetName val="KRITER_TABLOSU6"/>
      <sheetName val="AOP_Summary-26"/>
      <sheetName val="tahakkuk_müzekkeresi_16"/>
      <sheetName val="SUMMARY_BQ6"/>
      <sheetName val="Revenue_Calculation6"/>
      <sheetName val="LİSTE_FİYATLARI6"/>
      <sheetName val="ZAYIF_AKIM_KESFI6"/>
      <sheetName val="_N_Finansal__x005f_x000d_Eğri6"/>
      <sheetName val="MAZOT_TAKIBI6"/>
      <sheetName val="Satir_Bazli_Odeme_Listesi6"/>
      <sheetName val="icmal__6"/>
      <sheetName val="вспомогательный_лист6"/>
      <sheetName val="ÇALIŞMA_İCMALİ6"/>
      <sheetName val="13-İŞGÜCÜ_HİSTOGRAM'036"/>
      <sheetName val="CELIK_Poz_No-6_11_26"/>
      <sheetName val="Siyah_Fittings2"/>
      <sheetName val="YEŞİL_DEFTER_(İNŞAAT_)1"/>
      <sheetName val="BankaVezne"/>
      <sheetName val="parametreler"/>
      <sheetName val="Faturanızı Özelleştirin"/>
      <sheetName val="KAPAK "/>
      <sheetName val="XLR_NoRangeSheet"/>
      <sheetName val="Контроль заказов (3)"/>
      <sheetName val="факт_выполнение"/>
      <sheetName val="Доходы_свод"/>
      <sheetName val="Коэфф1_"/>
      <sheetName val="Прайс_лист"/>
      <sheetName val="Анализ_бункеров"/>
      <sheetName val="справочник_ОС"/>
      <sheetName val="список_объектов"/>
      <sheetName val="Birim_fiyatlar-2005"/>
      <sheetName val="Стены_и_плинт"/>
      <sheetName val="Revenue control Centers"/>
      <sheetName val="Proforma"/>
      <sheetName val="Параметры"/>
      <sheetName val="Basic-Engineering"/>
      <sheetName val="Startphase"/>
      <sheetName val="CTEMCOST"/>
      <sheetName val="Page1"/>
      <sheetName val="Bolt Up"/>
      <sheetName val="Field Handle Fittings"/>
      <sheetName val="Attach Flange"/>
      <sheetName val="Handle &amp; Erect Fab Spools"/>
      <sheetName val="Shop Handle Pipe"/>
      <sheetName val="Olet"/>
      <sheetName val="Shop Handle Fittings"/>
      <sheetName val="Valve Handle"/>
      <sheetName val="W+C+2B"/>
      <sheetName val="x"/>
      <sheetName val="PpFCTRS"/>
      <sheetName val="OIL SYST DATA SHTS"/>
      <sheetName val="SsFCTRS"/>
      <sheetName val="Q&amp;pl-V"/>
      <sheetName val="Rapor_Kapsamı14"/>
      <sheetName val="PM_Raporu14"/>
      <sheetName val="Proje_Bilgi14"/>
      <sheetName val="D_Hak_Rapor_(TL)14"/>
      <sheetName val="D_Hak_Rapor_(DM)14"/>
      <sheetName val="_N_Finansal_Eğri28"/>
      <sheetName val="K_Fiziksel_Eğri14"/>
      <sheetName val="B_Alacak14"/>
      <sheetName val="B_Borc14"/>
      <sheetName val="Perso_Durum14"/>
      <sheetName val="Perso_Mali14"/>
      <sheetName val="Proje_Aylık_Faaliyet_Degerl_14"/>
      <sheetName val="Proje_Prog_Deg_Özeti14"/>
      <sheetName val="TL_Faaliyet_Deg14"/>
      <sheetName val="DM_Faaliyet_Deg14"/>
      <sheetName val="_N_Finansal_Eğri29"/>
      <sheetName val="_N_Finansal_E?ri14"/>
      <sheetName val="Rapor_08_-_Agustos_200314"/>
      <sheetName val="DIRECT_COST13"/>
      <sheetName val="Dokum_Yeri_Isimlendirme13"/>
      <sheetName val="ANA_SAYFA13"/>
      <sheetName val="14_Proje_Kodları13"/>
      <sheetName val="Proje_Kodları13"/>
      <sheetName val="02_Beton_Takip13"/>
      <sheetName val="Aktivite_Tipleri13"/>
      <sheetName val="Proje_Kodları_ve_İlerlemeler13"/>
      <sheetName val="1_Summary13"/>
      <sheetName val="Kullanilan_Kodlar13"/>
      <sheetName val="Data_Validation13"/>
      <sheetName val="Finansal_tamamlanma_Eğrisi12"/>
      <sheetName val="Org_chart_Data11"/>
      <sheetName val="Veri_DB11"/>
      <sheetName val="Letter_Codes11"/>
      <sheetName val="SUNUM_ÖZET11"/>
      <sheetName val="Working_data11"/>
      <sheetName val="диагр_освоения10"/>
      <sheetName val="ekipman_listesi10"/>
      <sheetName val="LC_Takip10"/>
      <sheetName val="_N_Finansal_E_ri13"/>
      <sheetName val="YG_Kırılım10"/>
      <sheetName val="_N_Finansal__x000a_Eğri8"/>
      <sheetName val="1C_Katalog8"/>
      <sheetName val="Query_Table8"/>
      <sheetName val="Validation_Lists8"/>
      <sheetName val="xx__Data_Input8"/>
      <sheetName val="LISTE_VE_KONTROL8"/>
      <sheetName val="Свод_оплат_по_выборкам8"/>
      <sheetName val="1-Toplam_Gelir-Gider8"/>
      <sheetName val="ПЛАН_ОПЛАТ8"/>
      <sheetName val="Share_Price_20028"/>
      <sheetName val="B09_18"/>
      <sheetName val="97_사업추정(WEKI)8"/>
      <sheetName val="Attach_4-188"/>
      <sheetName val="Исполнение-нулевой_отчет8"/>
      <sheetName val="RAPOR1_İMALAT_İLERLEME7"/>
      <sheetName val="TEKLİF_-_BOQ7"/>
      <sheetName val="Rate_Analysis7"/>
      <sheetName val="Raw_Data7"/>
      <sheetName val="_N_Finansal__x005f_x000a_Eğri7"/>
      <sheetName val="B__Fiyatlar7"/>
      <sheetName val="imalat_iç_sayfa7"/>
      <sheetName val="_N_Finansal__Eğri7"/>
      <sheetName val="KRITER_TABLOSU7"/>
      <sheetName val="AOP_Summary-27"/>
      <sheetName val="tahakkuk_müzekkeresi_17"/>
      <sheetName val="SUMMARY_BQ7"/>
      <sheetName val="Revenue_Calculation7"/>
      <sheetName val="ZAYIF_AKIM_KESFI7"/>
      <sheetName val="LİSTE_FİYATLARI7"/>
      <sheetName val="_N_Finansal__x005f_x000d_Eğri7"/>
      <sheetName val="MAZOT_TAKIBI7"/>
      <sheetName val="Satir_Bazli_Odeme_Listesi7"/>
      <sheetName val="icmal__7"/>
      <sheetName val="вспомогательный_лист7"/>
      <sheetName val="ÇALIŞMA_İCMALİ7"/>
      <sheetName val="13-İŞGÜCÜ_HİSTOGRAM'037"/>
      <sheetName val="CELIK_Poz_No-6_11_27"/>
      <sheetName val="Siyah_Fittings3"/>
      <sheetName val="입찰내역_발주처_양식2"/>
      <sheetName val="D_I2"/>
      <sheetName val="YEŞİL_DEFTER_(İNŞAAT_)2"/>
      <sheetName val="Стоимость_сырья2"/>
      <sheetName val="Виды_работ2"/>
      <sheetName val="усл_обозн2"/>
      <sheetName val="Справочник_РУ2"/>
      <sheetName val="факт_выполнение1"/>
      <sheetName val="Доходы_свод1"/>
      <sheetName val="Birim_fiyatlar-20051"/>
      <sheetName val="Коэфф1_1"/>
      <sheetName val="Прайс_лист1"/>
      <sheetName val="Стены_и_плинт1"/>
      <sheetName val="HYDROTEST_DIAGRAM"/>
      <sheetName val="Анализ_бункеров1"/>
      <sheetName val="справочник_ОС1"/>
      <sheetName val="список_объектов1"/>
      <sheetName val="KM_KANATLI"/>
      <sheetName val="FFARK_MİK_TABLOLARI"/>
      <sheetName val="Tipo_de_Cambio"/>
      <sheetName val="_N_Finansal__Eğri8"/>
      <sheetName val="Faturanızı_Özelleştirin"/>
      <sheetName val="KAPAK_"/>
      <sheetName val="Контроль_заказов_(3)"/>
      <sheetName val="Revenue_control_Cen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>
        <row r="6">
          <cell r="R6">
            <v>0</v>
          </cell>
        </row>
      </sheetData>
      <sheetData sheetId="213">
        <row r="6">
          <cell r="R6">
            <v>0</v>
          </cell>
        </row>
      </sheetData>
      <sheetData sheetId="214">
        <row r="6">
          <cell r="R6">
            <v>0</v>
          </cell>
        </row>
      </sheetData>
      <sheetData sheetId="215">
        <row r="6">
          <cell r="R6">
            <v>0</v>
          </cell>
        </row>
      </sheetData>
      <sheetData sheetId="216">
        <row r="6">
          <cell r="R6">
            <v>0</v>
          </cell>
        </row>
      </sheetData>
      <sheetData sheetId="217">
        <row r="6">
          <cell r="R6">
            <v>0</v>
          </cell>
        </row>
      </sheetData>
      <sheetData sheetId="218">
        <row r="6">
          <cell r="R6">
            <v>0</v>
          </cell>
        </row>
      </sheetData>
      <sheetData sheetId="219">
        <row r="6">
          <cell r="R6">
            <v>0</v>
          </cell>
        </row>
      </sheetData>
      <sheetData sheetId="220">
        <row r="6">
          <cell r="R6">
            <v>0</v>
          </cell>
        </row>
      </sheetData>
      <sheetData sheetId="221">
        <row r="6">
          <cell r="R6">
            <v>0</v>
          </cell>
        </row>
      </sheetData>
      <sheetData sheetId="222">
        <row r="6">
          <cell r="R6">
            <v>0</v>
          </cell>
        </row>
      </sheetData>
      <sheetData sheetId="223">
        <row r="6">
          <cell r="R6">
            <v>0</v>
          </cell>
        </row>
      </sheetData>
      <sheetData sheetId="224">
        <row r="6">
          <cell r="R6">
            <v>0</v>
          </cell>
        </row>
      </sheetData>
      <sheetData sheetId="225">
        <row r="6">
          <cell r="R6">
            <v>0</v>
          </cell>
        </row>
      </sheetData>
      <sheetData sheetId="226">
        <row r="6">
          <cell r="R6">
            <v>0</v>
          </cell>
        </row>
      </sheetData>
      <sheetData sheetId="227">
        <row r="6">
          <cell r="R6">
            <v>0</v>
          </cell>
        </row>
      </sheetData>
      <sheetData sheetId="228">
        <row r="6">
          <cell r="R6">
            <v>0</v>
          </cell>
        </row>
      </sheetData>
      <sheetData sheetId="229">
        <row r="6">
          <cell r="R6">
            <v>0</v>
          </cell>
        </row>
      </sheetData>
      <sheetData sheetId="230">
        <row r="6">
          <cell r="R6">
            <v>0</v>
          </cell>
        </row>
      </sheetData>
      <sheetData sheetId="231">
        <row r="6">
          <cell r="R6">
            <v>0</v>
          </cell>
        </row>
      </sheetData>
      <sheetData sheetId="232">
        <row r="6">
          <cell r="R6">
            <v>0</v>
          </cell>
        </row>
      </sheetData>
      <sheetData sheetId="233">
        <row r="6">
          <cell r="R6">
            <v>0</v>
          </cell>
        </row>
      </sheetData>
      <sheetData sheetId="234">
        <row r="6">
          <cell r="R6">
            <v>0</v>
          </cell>
        </row>
      </sheetData>
      <sheetData sheetId="235">
        <row r="6">
          <cell r="R6">
            <v>0</v>
          </cell>
        </row>
      </sheetData>
      <sheetData sheetId="236">
        <row r="6">
          <cell r="R6">
            <v>0</v>
          </cell>
        </row>
      </sheetData>
      <sheetData sheetId="237">
        <row r="6">
          <cell r="R6">
            <v>0</v>
          </cell>
        </row>
      </sheetData>
      <sheetData sheetId="238">
        <row r="6">
          <cell r="R6">
            <v>0</v>
          </cell>
        </row>
      </sheetData>
      <sheetData sheetId="239">
        <row r="6">
          <cell r="R6">
            <v>0</v>
          </cell>
        </row>
      </sheetData>
      <sheetData sheetId="240">
        <row r="6">
          <cell r="R6">
            <v>0</v>
          </cell>
        </row>
      </sheetData>
      <sheetData sheetId="241">
        <row r="6">
          <cell r="R6">
            <v>0</v>
          </cell>
        </row>
      </sheetData>
      <sheetData sheetId="242">
        <row r="6">
          <cell r="R6">
            <v>0</v>
          </cell>
        </row>
      </sheetData>
      <sheetData sheetId="243">
        <row r="6">
          <cell r="R6">
            <v>0</v>
          </cell>
        </row>
      </sheetData>
      <sheetData sheetId="244">
        <row r="6">
          <cell r="R6">
            <v>0</v>
          </cell>
        </row>
      </sheetData>
      <sheetData sheetId="245">
        <row r="6">
          <cell r="R6">
            <v>0</v>
          </cell>
        </row>
      </sheetData>
      <sheetData sheetId="246">
        <row r="6">
          <cell r="R6">
            <v>0</v>
          </cell>
        </row>
      </sheetData>
      <sheetData sheetId="247">
        <row r="6">
          <cell r="R6">
            <v>0</v>
          </cell>
        </row>
      </sheetData>
      <sheetData sheetId="248">
        <row r="6">
          <cell r="R6">
            <v>0</v>
          </cell>
        </row>
      </sheetData>
      <sheetData sheetId="249">
        <row r="6">
          <cell r="R6">
            <v>0</v>
          </cell>
        </row>
      </sheetData>
      <sheetData sheetId="250">
        <row r="6">
          <cell r="R6">
            <v>0</v>
          </cell>
        </row>
      </sheetData>
      <sheetData sheetId="251">
        <row r="6">
          <cell r="R6">
            <v>0</v>
          </cell>
        </row>
      </sheetData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>
        <row r="6">
          <cell r="R6">
            <v>0</v>
          </cell>
        </row>
      </sheetData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>
        <row r="6">
          <cell r="R6">
            <v>0</v>
          </cell>
        </row>
      </sheetData>
      <sheetData sheetId="357">
        <row r="6">
          <cell r="R6">
            <v>0</v>
          </cell>
        </row>
      </sheetData>
      <sheetData sheetId="358">
        <row r="6">
          <cell r="R6">
            <v>0</v>
          </cell>
        </row>
      </sheetData>
      <sheetData sheetId="359">
        <row r="6">
          <cell r="R6">
            <v>0</v>
          </cell>
        </row>
      </sheetData>
      <sheetData sheetId="360">
        <row r="6">
          <cell r="R6">
            <v>0</v>
          </cell>
        </row>
      </sheetData>
      <sheetData sheetId="361">
        <row r="6">
          <cell r="R6">
            <v>0</v>
          </cell>
        </row>
      </sheetData>
      <sheetData sheetId="362">
        <row r="6">
          <cell r="R6">
            <v>0</v>
          </cell>
        </row>
      </sheetData>
      <sheetData sheetId="363">
        <row r="6">
          <cell r="R6">
            <v>0</v>
          </cell>
        </row>
      </sheetData>
      <sheetData sheetId="364">
        <row r="6">
          <cell r="R6">
            <v>0</v>
          </cell>
        </row>
      </sheetData>
      <sheetData sheetId="365">
        <row r="6">
          <cell r="R6">
            <v>0</v>
          </cell>
        </row>
      </sheetData>
      <sheetData sheetId="366">
        <row r="6">
          <cell r="R6">
            <v>0</v>
          </cell>
        </row>
      </sheetData>
      <sheetData sheetId="367">
        <row r="6">
          <cell r="R6">
            <v>0</v>
          </cell>
        </row>
      </sheetData>
      <sheetData sheetId="368">
        <row r="6">
          <cell r="R6">
            <v>0</v>
          </cell>
        </row>
      </sheetData>
      <sheetData sheetId="369">
        <row r="6">
          <cell r="R6">
            <v>0</v>
          </cell>
        </row>
      </sheetData>
      <sheetData sheetId="370">
        <row r="6">
          <cell r="R6">
            <v>0</v>
          </cell>
        </row>
      </sheetData>
      <sheetData sheetId="371">
        <row r="6">
          <cell r="R6">
            <v>0</v>
          </cell>
        </row>
      </sheetData>
      <sheetData sheetId="372">
        <row r="6">
          <cell r="R6">
            <v>0</v>
          </cell>
        </row>
      </sheetData>
      <sheetData sheetId="373">
        <row r="6">
          <cell r="R6">
            <v>0</v>
          </cell>
        </row>
      </sheetData>
      <sheetData sheetId="374">
        <row r="6">
          <cell r="R6">
            <v>0</v>
          </cell>
        </row>
      </sheetData>
      <sheetData sheetId="375">
        <row r="6">
          <cell r="R6">
            <v>0</v>
          </cell>
        </row>
      </sheetData>
      <sheetData sheetId="376">
        <row r="6">
          <cell r="R6">
            <v>0</v>
          </cell>
        </row>
      </sheetData>
      <sheetData sheetId="377">
        <row r="6">
          <cell r="R6">
            <v>0</v>
          </cell>
        </row>
      </sheetData>
      <sheetData sheetId="378">
        <row r="6">
          <cell r="R6">
            <v>0</v>
          </cell>
        </row>
      </sheetData>
      <sheetData sheetId="379">
        <row r="6">
          <cell r="R6">
            <v>0</v>
          </cell>
        </row>
      </sheetData>
      <sheetData sheetId="380">
        <row r="6">
          <cell r="R6">
            <v>0</v>
          </cell>
        </row>
      </sheetData>
      <sheetData sheetId="381">
        <row r="6">
          <cell r="R6">
            <v>0</v>
          </cell>
        </row>
      </sheetData>
      <sheetData sheetId="382">
        <row r="6">
          <cell r="R6">
            <v>0</v>
          </cell>
        </row>
      </sheetData>
      <sheetData sheetId="383">
        <row r="6">
          <cell r="R6">
            <v>0</v>
          </cell>
        </row>
      </sheetData>
      <sheetData sheetId="384">
        <row r="6">
          <cell r="R6">
            <v>0</v>
          </cell>
        </row>
      </sheetData>
      <sheetData sheetId="385">
        <row r="6">
          <cell r="R6">
            <v>0</v>
          </cell>
        </row>
      </sheetData>
      <sheetData sheetId="386">
        <row r="6">
          <cell r="R6">
            <v>0</v>
          </cell>
        </row>
      </sheetData>
      <sheetData sheetId="387">
        <row r="6">
          <cell r="R6">
            <v>0</v>
          </cell>
        </row>
      </sheetData>
      <sheetData sheetId="388">
        <row r="6">
          <cell r="R6">
            <v>0</v>
          </cell>
        </row>
      </sheetData>
      <sheetData sheetId="389">
        <row r="6">
          <cell r="R6">
            <v>0</v>
          </cell>
        </row>
      </sheetData>
      <sheetData sheetId="390">
        <row r="6">
          <cell r="R6">
            <v>0</v>
          </cell>
        </row>
      </sheetData>
      <sheetData sheetId="391">
        <row r="6">
          <cell r="R6">
            <v>0</v>
          </cell>
        </row>
      </sheetData>
      <sheetData sheetId="392">
        <row r="6">
          <cell r="R6">
            <v>0</v>
          </cell>
        </row>
      </sheetData>
      <sheetData sheetId="393">
        <row r="6">
          <cell r="R6">
            <v>0</v>
          </cell>
        </row>
      </sheetData>
      <sheetData sheetId="394">
        <row r="6">
          <cell r="R6">
            <v>0</v>
          </cell>
        </row>
      </sheetData>
      <sheetData sheetId="395">
        <row r="6">
          <cell r="R6">
            <v>0</v>
          </cell>
        </row>
      </sheetData>
      <sheetData sheetId="396">
        <row r="6">
          <cell r="R6">
            <v>0</v>
          </cell>
        </row>
      </sheetData>
      <sheetData sheetId="397">
        <row r="6">
          <cell r="R6">
            <v>0</v>
          </cell>
        </row>
      </sheetData>
      <sheetData sheetId="398">
        <row r="6">
          <cell r="R6">
            <v>0</v>
          </cell>
        </row>
      </sheetData>
      <sheetData sheetId="399">
        <row r="6">
          <cell r="R6">
            <v>0</v>
          </cell>
        </row>
      </sheetData>
      <sheetData sheetId="400">
        <row r="6">
          <cell r="R6">
            <v>0</v>
          </cell>
        </row>
      </sheetData>
      <sheetData sheetId="401">
        <row r="6">
          <cell r="R6">
            <v>0</v>
          </cell>
        </row>
      </sheetData>
      <sheetData sheetId="402">
        <row r="6">
          <cell r="R6">
            <v>0</v>
          </cell>
        </row>
      </sheetData>
      <sheetData sheetId="403">
        <row r="6">
          <cell r="R6">
            <v>0</v>
          </cell>
        </row>
      </sheetData>
      <sheetData sheetId="404">
        <row r="6">
          <cell r="R6">
            <v>0</v>
          </cell>
        </row>
      </sheetData>
      <sheetData sheetId="405">
        <row r="6">
          <cell r="R6">
            <v>0</v>
          </cell>
        </row>
      </sheetData>
      <sheetData sheetId="406">
        <row r="6">
          <cell r="R6">
            <v>0</v>
          </cell>
        </row>
      </sheetData>
      <sheetData sheetId="407">
        <row r="6">
          <cell r="R6">
            <v>0</v>
          </cell>
        </row>
      </sheetData>
      <sheetData sheetId="408">
        <row r="6">
          <cell r="R6">
            <v>0</v>
          </cell>
        </row>
      </sheetData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>
        <row r="6">
          <cell r="R6">
            <v>0</v>
          </cell>
        </row>
      </sheetData>
      <sheetData sheetId="415">
        <row r="6">
          <cell r="R6">
            <v>0</v>
          </cell>
        </row>
      </sheetData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>
        <row r="6">
          <cell r="R6">
            <v>0</v>
          </cell>
        </row>
      </sheetData>
      <sheetData sheetId="435">
        <row r="6">
          <cell r="R6">
            <v>0</v>
          </cell>
        </row>
      </sheetData>
      <sheetData sheetId="436">
        <row r="6">
          <cell r="R6">
            <v>0</v>
          </cell>
        </row>
      </sheetData>
      <sheetData sheetId="437">
        <row r="6">
          <cell r="R6">
            <v>0</v>
          </cell>
        </row>
      </sheetData>
      <sheetData sheetId="438">
        <row r="6">
          <cell r="R6">
            <v>0</v>
          </cell>
        </row>
      </sheetData>
      <sheetData sheetId="439">
        <row r="6">
          <cell r="R6">
            <v>0</v>
          </cell>
        </row>
      </sheetData>
      <sheetData sheetId="440">
        <row r="6">
          <cell r="R6">
            <v>0</v>
          </cell>
        </row>
      </sheetData>
      <sheetData sheetId="441">
        <row r="6">
          <cell r="R6">
            <v>0</v>
          </cell>
        </row>
      </sheetData>
      <sheetData sheetId="442">
        <row r="6">
          <cell r="R6">
            <v>0</v>
          </cell>
        </row>
      </sheetData>
      <sheetData sheetId="443">
        <row r="6">
          <cell r="R6">
            <v>0</v>
          </cell>
        </row>
      </sheetData>
      <sheetData sheetId="444">
        <row r="6">
          <cell r="R6">
            <v>0</v>
          </cell>
        </row>
      </sheetData>
      <sheetData sheetId="445">
        <row r="6">
          <cell r="R6">
            <v>0</v>
          </cell>
        </row>
      </sheetData>
      <sheetData sheetId="446">
        <row r="6">
          <cell r="R6">
            <v>0</v>
          </cell>
        </row>
      </sheetData>
      <sheetData sheetId="447">
        <row r="6">
          <cell r="R6">
            <v>0</v>
          </cell>
        </row>
      </sheetData>
      <sheetData sheetId="448">
        <row r="6">
          <cell r="R6">
            <v>0</v>
          </cell>
        </row>
      </sheetData>
      <sheetData sheetId="449">
        <row r="6">
          <cell r="R6">
            <v>0</v>
          </cell>
        </row>
      </sheetData>
      <sheetData sheetId="450">
        <row r="6">
          <cell r="R6">
            <v>0</v>
          </cell>
        </row>
      </sheetData>
      <sheetData sheetId="451">
        <row r="6">
          <cell r="R6">
            <v>0</v>
          </cell>
        </row>
      </sheetData>
      <sheetData sheetId="452">
        <row r="6">
          <cell r="R6">
            <v>0</v>
          </cell>
        </row>
      </sheetData>
      <sheetData sheetId="453">
        <row r="6">
          <cell r="R6">
            <v>0</v>
          </cell>
        </row>
      </sheetData>
      <sheetData sheetId="454">
        <row r="6">
          <cell r="R6">
            <v>0</v>
          </cell>
        </row>
      </sheetData>
      <sheetData sheetId="455">
        <row r="6">
          <cell r="R6">
            <v>0</v>
          </cell>
        </row>
      </sheetData>
      <sheetData sheetId="456">
        <row r="6">
          <cell r="R6">
            <v>0</v>
          </cell>
        </row>
      </sheetData>
      <sheetData sheetId="457">
        <row r="6">
          <cell r="R6">
            <v>0</v>
          </cell>
        </row>
      </sheetData>
      <sheetData sheetId="458">
        <row r="6">
          <cell r="R6">
            <v>0</v>
          </cell>
        </row>
      </sheetData>
      <sheetData sheetId="459">
        <row r="6">
          <cell r="R6">
            <v>0</v>
          </cell>
        </row>
      </sheetData>
      <sheetData sheetId="460">
        <row r="6">
          <cell r="R6">
            <v>0</v>
          </cell>
        </row>
      </sheetData>
      <sheetData sheetId="461">
        <row r="6">
          <cell r="R6">
            <v>0</v>
          </cell>
        </row>
      </sheetData>
      <sheetData sheetId="462">
        <row r="6">
          <cell r="R6">
            <v>0</v>
          </cell>
        </row>
      </sheetData>
      <sheetData sheetId="463">
        <row r="6">
          <cell r="R6">
            <v>0</v>
          </cell>
        </row>
      </sheetData>
      <sheetData sheetId="464">
        <row r="6">
          <cell r="R6">
            <v>0</v>
          </cell>
        </row>
      </sheetData>
      <sheetData sheetId="465">
        <row r="6">
          <cell r="R6">
            <v>0</v>
          </cell>
        </row>
      </sheetData>
      <sheetData sheetId="466">
        <row r="6">
          <cell r="R6">
            <v>0</v>
          </cell>
        </row>
      </sheetData>
      <sheetData sheetId="467">
        <row r="6">
          <cell r="R6">
            <v>0</v>
          </cell>
        </row>
      </sheetData>
      <sheetData sheetId="468">
        <row r="6">
          <cell r="R6">
            <v>0</v>
          </cell>
        </row>
      </sheetData>
      <sheetData sheetId="469">
        <row r="6">
          <cell r="R6">
            <v>0</v>
          </cell>
        </row>
      </sheetData>
      <sheetData sheetId="470">
        <row r="6">
          <cell r="R6">
            <v>0</v>
          </cell>
        </row>
      </sheetData>
      <sheetData sheetId="471">
        <row r="6">
          <cell r="R6">
            <v>0</v>
          </cell>
        </row>
      </sheetData>
      <sheetData sheetId="472">
        <row r="6">
          <cell r="R6">
            <v>0</v>
          </cell>
        </row>
      </sheetData>
      <sheetData sheetId="473">
        <row r="6">
          <cell r="R6">
            <v>0</v>
          </cell>
        </row>
      </sheetData>
      <sheetData sheetId="474">
        <row r="6">
          <cell r="R6">
            <v>0</v>
          </cell>
        </row>
      </sheetData>
      <sheetData sheetId="475">
        <row r="6">
          <cell r="R6">
            <v>0</v>
          </cell>
        </row>
      </sheetData>
      <sheetData sheetId="476">
        <row r="6">
          <cell r="R6">
            <v>0</v>
          </cell>
        </row>
      </sheetData>
      <sheetData sheetId="477">
        <row r="6">
          <cell r="R6">
            <v>0</v>
          </cell>
        </row>
      </sheetData>
      <sheetData sheetId="478">
        <row r="6">
          <cell r="R6">
            <v>0</v>
          </cell>
        </row>
      </sheetData>
      <sheetData sheetId="479">
        <row r="6">
          <cell r="R6">
            <v>0</v>
          </cell>
        </row>
      </sheetData>
      <sheetData sheetId="480">
        <row r="6">
          <cell r="R6">
            <v>0</v>
          </cell>
        </row>
      </sheetData>
      <sheetData sheetId="481">
        <row r="6">
          <cell r="R6">
            <v>0</v>
          </cell>
        </row>
      </sheetData>
      <sheetData sheetId="482">
        <row r="6">
          <cell r="R6">
            <v>0</v>
          </cell>
        </row>
      </sheetData>
      <sheetData sheetId="483">
        <row r="6">
          <cell r="R6">
            <v>0</v>
          </cell>
        </row>
      </sheetData>
      <sheetData sheetId="484">
        <row r="6">
          <cell r="R6">
            <v>0</v>
          </cell>
        </row>
      </sheetData>
      <sheetData sheetId="485">
        <row r="6">
          <cell r="R6">
            <v>0</v>
          </cell>
        </row>
      </sheetData>
      <sheetData sheetId="486">
        <row r="6">
          <cell r="R6">
            <v>0</v>
          </cell>
        </row>
      </sheetData>
      <sheetData sheetId="487">
        <row r="6">
          <cell r="R6">
            <v>0</v>
          </cell>
        </row>
      </sheetData>
      <sheetData sheetId="488">
        <row r="6">
          <cell r="R6">
            <v>0</v>
          </cell>
        </row>
      </sheetData>
      <sheetData sheetId="489">
        <row r="6">
          <cell r="R6">
            <v>0</v>
          </cell>
        </row>
      </sheetData>
      <sheetData sheetId="490">
        <row r="6">
          <cell r="R6">
            <v>0</v>
          </cell>
        </row>
      </sheetData>
      <sheetData sheetId="491">
        <row r="6">
          <cell r="R6">
            <v>0</v>
          </cell>
        </row>
      </sheetData>
      <sheetData sheetId="492">
        <row r="6">
          <cell r="R6">
            <v>0</v>
          </cell>
        </row>
      </sheetData>
      <sheetData sheetId="493">
        <row r="6">
          <cell r="R6">
            <v>0</v>
          </cell>
        </row>
      </sheetData>
      <sheetData sheetId="494">
        <row r="6">
          <cell r="R6">
            <v>0</v>
          </cell>
        </row>
      </sheetData>
      <sheetData sheetId="495">
        <row r="6">
          <cell r="R6">
            <v>0</v>
          </cell>
        </row>
      </sheetData>
      <sheetData sheetId="496">
        <row r="6">
          <cell r="R6">
            <v>0</v>
          </cell>
        </row>
      </sheetData>
      <sheetData sheetId="497">
        <row r="6">
          <cell r="R6">
            <v>0</v>
          </cell>
        </row>
      </sheetData>
      <sheetData sheetId="498">
        <row r="6">
          <cell r="R6">
            <v>0</v>
          </cell>
        </row>
      </sheetData>
      <sheetData sheetId="499">
        <row r="6">
          <cell r="R6">
            <v>0</v>
          </cell>
        </row>
      </sheetData>
      <sheetData sheetId="500">
        <row r="6">
          <cell r="R6">
            <v>0</v>
          </cell>
        </row>
      </sheetData>
      <sheetData sheetId="501">
        <row r="6">
          <cell r="R6">
            <v>0</v>
          </cell>
        </row>
      </sheetData>
      <sheetData sheetId="502">
        <row r="6">
          <cell r="R6">
            <v>0</v>
          </cell>
        </row>
      </sheetData>
      <sheetData sheetId="503">
        <row r="6">
          <cell r="R6">
            <v>0</v>
          </cell>
        </row>
      </sheetData>
      <sheetData sheetId="504">
        <row r="6">
          <cell r="R6">
            <v>0</v>
          </cell>
        </row>
      </sheetData>
      <sheetData sheetId="505">
        <row r="6">
          <cell r="R6">
            <v>0</v>
          </cell>
        </row>
      </sheetData>
      <sheetData sheetId="506">
        <row r="6">
          <cell r="R6">
            <v>0</v>
          </cell>
        </row>
      </sheetData>
      <sheetData sheetId="507">
        <row r="6">
          <cell r="R6">
            <v>0</v>
          </cell>
        </row>
      </sheetData>
      <sheetData sheetId="508">
        <row r="6">
          <cell r="R6">
            <v>0</v>
          </cell>
        </row>
      </sheetData>
      <sheetData sheetId="509">
        <row r="6">
          <cell r="R6">
            <v>0</v>
          </cell>
        </row>
      </sheetData>
      <sheetData sheetId="510">
        <row r="6">
          <cell r="R6">
            <v>0</v>
          </cell>
        </row>
      </sheetData>
      <sheetData sheetId="511">
        <row r="6">
          <cell r="R6">
            <v>0</v>
          </cell>
        </row>
      </sheetData>
      <sheetData sheetId="512">
        <row r="6">
          <cell r="R6">
            <v>0</v>
          </cell>
        </row>
      </sheetData>
      <sheetData sheetId="513">
        <row r="6">
          <cell r="R6">
            <v>0</v>
          </cell>
        </row>
      </sheetData>
      <sheetData sheetId="514">
        <row r="6">
          <cell r="R6">
            <v>0</v>
          </cell>
        </row>
      </sheetData>
      <sheetData sheetId="515">
        <row r="6">
          <cell r="R6">
            <v>0</v>
          </cell>
        </row>
      </sheetData>
      <sheetData sheetId="516">
        <row r="6">
          <cell r="R6">
            <v>0</v>
          </cell>
        </row>
      </sheetData>
      <sheetData sheetId="517">
        <row r="6">
          <cell r="R6">
            <v>0</v>
          </cell>
        </row>
      </sheetData>
      <sheetData sheetId="518">
        <row r="6">
          <cell r="R6">
            <v>0</v>
          </cell>
        </row>
      </sheetData>
      <sheetData sheetId="519">
        <row r="6">
          <cell r="R6">
            <v>0</v>
          </cell>
        </row>
      </sheetData>
      <sheetData sheetId="520">
        <row r="6">
          <cell r="R6">
            <v>0</v>
          </cell>
        </row>
      </sheetData>
      <sheetData sheetId="521">
        <row r="6">
          <cell r="R6">
            <v>0</v>
          </cell>
        </row>
      </sheetData>
      <sheetData sheetId="522">
        <row r="6">
          <cell r="R6">
            <v>0</v>
          </cell>
        </row>
      </sheetData>
      <sheetData sheetId="523">
        <row r="6">
          <cell r="R6">
            <v>0</v>
          </cell>
        </row>
      </sheetData>
      <sheetData sheetId="524">
        <row r="6">
          <cell r="R6">
            <v>0</v>
          </cell>
        </row>
      </sheetData>
      <sheetData sheetId="525">
        <row r="6">
          <cell r="R6">
            <v>0</v>
          </cell>
        </row>
      </sheetData>
      <sheetData sheetId="526">
        <row r="6">
          <cell r="R6">
            <v>0</v>
          </cell>
        </row>
      </sheetData>
      <sheetData sheetId="527">
        <row r="6">
          <cell r="R6">
            <v>0</v>
          </cell>
        </row>
      </sheetData>
      <sheetData sheetId="528">
        <row r="6">
          <cell r="R6">
            <v>0</v>
          </cell>
        </row>
      </sheetData>
      <sheetData sheetId="529">
        <row r="6">
          <cell r="R6">
            <v>0</v>
          </cell>
        </row>
      </sheetData>
      <sheetData sheetId="530">
        <row r="6">
          <cell r="R6">
            <v>0</v>
          </cell>
        </row>
      </sheetData>
      <sheetData sheetId="531">
        <row r="6">
          <cell r="R6">
            <v>0</v>
          </cell>
        </row>
      </sheetData>
      <sheetData sheetId="532">
        <row r="6">
          <cell r="R6">
            <v>0</v>
          </cell>
        </row>
      </sheetData>
      <sheetData sheetId="533">
        <row r="6">
          <cell r="R6">
            <v>0</v>
          </cell>
        </row>
      </sheetData>
      <sheetData sheetId="534">
        <row r="6">
          <cell r="R6">
            <v>0</v>
          </cell>
        </row>
      </sheetData>
      <sheetData sheetId="535">
        <row r="6">
          <cell r="R6">
            <v>0</v>
          </cell>
        </row>
      </sheetData>
      <sheetData sheetId="536">
        <row r="6">
          <cell r="R6">
            <v>0</v>
          </cell>
        </row>
      </sheetData>
      <sheetData sheetId="537">
        <row r="6">
          <cell r="R6">
            <v>0</v>
          </cell>
        </row>
      </sheetData>
      <sheetData sheetId="538">
        <row r="6">
          <cell r="R6">
            <v>0</v>
          </cell>
        </row>
      </sheetData>
      <sheetData sheetId="539">
        <row r="6">
          <cell r="R6">
            <v>0</v>
          </cell>
        </row>
      </sheetData>
      <sheetData sheetId="540">
        <row r="6">
          <cell r="R6">
            <v>0</v>
          </cell>
        </row>
      </sheetData>
      <sheetData sheetId="541">
        <row r="6">
          <cell r="R6">
            <v>0</v>
          </cell>
        </row>
      </sheetData>
      <sheetData sheetId="542">
        <row r="6">
          <cell r="R6">
            <v>0</v>
          </cell>
        </row>
      </sheetData>
      <sheetData sheetId="543">
        <row r="6">
          <cell r="R6">
            <v>0</v>
          </cell>
        </row>
      </sheetData>
      <sheetData sheetId="544">
        <row r="6">
          <cell r="R6">
            <v>0</v>
          </cell>
        </row>
      </sheetData>
      <sheetData sheetId="545">
        <row r="6">
          <cell r="R6">
            <v>0</v>
          </cell>
        </row>
      </sheetData>
      <sheetData sheetId="546">
        <row r="6">
          <cell r="R6">
            <v>0</v>
          </cell>
        </row>
      </sheetData>
      <sheetData sheetId="547">
        <row r="6">
          <cell r="R6">
            <v>0</v>
          </cell>
        </row>
      </sheetData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>
        <row r="6">
          <cell r="R6">
            <v>0</v>
          </cell>
        </row>
      </sheetData>
      <sheetData sheetId="588" refreshError="1"/>
      <sheetData sheetId="589" refreshError="1"/>
      <sheetData sheetId="590">
        <row r="6">
          <cell r="R6">
            <v>0</v>
          </cell>
        </row>
      </sheetData>
      <sheetData sheetId="591">
        <row r="6">
          <cell r="R6">
            <v>0</v>
          </cell>
        </row>
      </sheetData>
      <sheetData sheetId="592">
        <row r="6">
          <cell r="R6">
            <v>0</v>
          </cell>
        </row>
      </sheetData>
      <sheetData sheetId="593">
        <row r="6">
          <cell r="R6">
            <v>0</v>
          </cell>
        </row>
      </sheetData>
      <sheetData sheetId="594">
        <row r="6">
          <cell r="R6">
            <v>0</v>
          </cell>
        </row>
      </sheetData>
      <sheetData sheetId="595">
        <row r="6">
          <cell r="R6">
            <v>0</v>
          </cell>
        </row>
      </sheetData>
      <sheetData sheetId="596">
        <row r="6">
          <cell r="R6">
            <v>0</v>
          </cell>
        </row>
      </sheetData>
      <sheetData sheetId="597">
        <row r="6">
          <cell r="R6">
            <v>0</v>
          </cell>
        </row>
      </sheetData>
      <sheetData sheetId="598">
        <row r="6">
          <cell r="R6">
            <v>0</v>
          </cell>
        </row>
      </sheetData>
      <sheetData sheetId="599">
        <row r="6">
          <cell r="R6">
            <v>0</v>
          </cell>
        </row>
      </sheetData>
      <sheetData sheetId="600">
        <row r="6">
          <cell r="R6">
            <v>0</v>
          </cell>
        </row>
      </sheetData>
      <sheetData sheetId="601">
        <row r="6">
          <cell r="R6">
            <v>0</v>
          </cell>
        </row>
      </sheetData>
      <sheetData sheetId="602">
        <row r="6">
          <cell r="R6">
            <v>0</v>
          </cell>
        </row>
      </sheetData>
      <sheetData sheetId="603">
        <row r="6">
          <cell r="R6">
            <v>0</v>
          </cell>
        </row>
      </sheetData>
      <sheetData sheetId="604">
        <row r="6">
          <cell r="R6">
            <v>0</v>
          </cell>
        </row>
      </sheetData>
      <sheetData sheetId="605">
        <row r="6">
          <cell r="R6">
            <v>0</v>
          </cell>
        </row>
      </sheetData>
      <sheetData sheetId="606">
        <row r="6">
          <cell r="R6">
            <v>0</v>
          </cell>
        </row>
      </sheetData>
      <sheetData sheetId="607">
        <row r="6">
          <cell r="R6">
            <v>0</v>
          </cell>
        </row>
      </sheetData>
      <sheetData sheetId="608">
        <row r="6">
          <cell r="R6">
            <v>0</v>
          </cell>
        </row>
      </sheetData>
      <sheetData sheetId="609">
        <row r="6">
          <cell r="R6">
            <v>0</v>
          </cell>
        </row>
      </sheetData>
      <sheetData sheetId="610">
        <row r="6">
          <cell r="R6">
            <v>0</v>
          </cell>
        </row>
      </sheetData>
      <sheetData sheetId="611">
        <row r="6">
          <cell r="R6">
            <v>0</v>
          </cell>
        </row>
      </sheetData>
      <sheetData sheetId="612">
        <row r="6">
          <cell r="R6">
            <v>0</v>
          </cell>
        </row>
      </sheetData>
      <sheetData sheetId="613">
        <row r="6">
          <cell r="R6">
            <v>0</v>
          </cell>
        </row>
      </sheetData>
      <sheetData sheetId="614">
        <row r="6">
          <cell r="R6">
            <v>0</v>
          </cell>
        </row>
      </sheetData>
      <sheetData sheetId="615">
        <row r="6">
          <cell r="R6">
            <v>0</v>
          </cell>
        </row>
      </sheetData>
      <sheetData sheetId="616">
        <row r="6">
          <cell r="R6">
            <v>0</v>
          </cell>
        </row>
      </sheetData>
      <sheetData sheetId="617">
        <row r="6">
          <cell r="R6">
            <v>0</v>
          </cell>
        </row>
      </sheetData>
      <sheetData sheetId="618">
        <row r="6">
          <cell r="R6">
            <v>0</v>
          </cell>
        </row>
      </sheetData>
      <sheetData sheetId="619">
        <row r="6">
          <cell r="R6">
            <v>0</v>
          </cell>
        </row>
      </sheetData>
      <sheetData sheetId="620">
        <row r="6">
          <cell r="R6">
            <v>0</v>
          </cell>
        </row>
      </sheetData>
      <sheetData sheetId="621">
        <row r="6">
          <cell r="R6">
            <v>0</v>
          </cell>
        </row>
      </sheetData>
      <sheetData sheetId="622">
        <row r="6">
          <cell r="R6">
            <v>0</v>
          </cell>
        </row>
      </sheetData>
      <sheetData sheetId="623">
        <row r="6">
          <cell r="R6">
            <v>0</v>
          </cell>
        </row>
      </sheetData>
      <sheetData sheetId="624">
        <row r="6">
          <cell r="R6">
            <v>0</v>
          </cell>
        </row>
      </sheetData>
      <sheetData sheetId="625">
        <row r="6">
          <cell r="R6">
            <v>0</v>
          </cell>
        </row>
      </sheetData>
      <sheetData sheetId="626">
        <row r="6">
          <cell r="R6">
            <v>0</v>
          </cell>
        </row>
      </sheetData>
      <sheetData sheetId="627">
        <row r="6">
          <cell r="R6">
            <v>0</v>
          </cell>
        </row>
      </sheetData>
      <sheetData sheetId="628">
        <row r="6">
          <cell r="R6">
            <v>0</v>
          </cell>
        </row>
      </sheetData>
      <sheetData sheetId="629">
        <row r="6">
          <cell r="R6">
            <v>0</v>
          </cell>
        </row>
      </sheetData>
      <sheetData sheetId="630">
        <row r="6">
          <cell r="R6">
            <v>0</v>
          </cell>
        </row>
      </sheetData>
      <sheetData sheetId="631">
        <row r="6">
          <cell r="R6">
            <v>0</v>
          </cell>
        </row>
      </sheetData>
      <sheetData sheetId="632">
        <row r="6">
          <cell r="R6">
            <v>0</v>
          </cell>
        </row>
      </sheetData>
      <sheetData sheetId="633">
        <row r="6">
          <cell r="R6">
            <v>0</v>
          </cell>
        </row>
      </sheetData>
      <sheetData sheetId="634">
        <row r="6">
          <cell r="R6">
            <v>0</v>
          </cell>
        </row>
      </sheetData>
      <sheetData sheetId="635">
        <row r="6">
          <cell r="R6">
            <v>0</v>
          </cell>
        </row>
      </sheetData>
      <sheetData sheetId="636">
        <row r="6">
          <cell r="R6">
            <v>0</v>
          </cell>
        </row>
      </sheetData>
      <sheetData sheetId="637">
        <row r="6">
          <cell r="R6">
            <v>0</v>
          </cell>
        </row>
      </sheetData>
      <sheetData sheetId="638">
        <row r="6">
          <cell r="R6">
            <v>0</v>
          </cell>
        </row>
      </sheetData>
      <sheetData sheetId="639">
        <row r="6">
          <cell r="R6">
            <v>0</v>
          </cell>
        </row>
      </sheetData>
      <sheetData sheetId="640">
        <row r="6">
          <cell r="R6">
            <v>0</v>
          </cell>
        </row>
      </sheetData>
      <sheetData sheetId="641">
        <row r="6">
          <cell r="R6">
            <v>0</v>
          </cell>
        </row>
      </sheetData>
      <sheetData sheetId="642">
        <row r="6">
          <cell r="R6">
            <v>0</v>
          </cell>
        </row>
      </sheetData>
      <sheetData sheetId="643">
        <row r="6">
          <cell r="R6">
            <v>0</v>
          </cell>
        </row>
      </sheetData>
      <sheetData sheetId="644">
        <row r="6">
          <cell r="R6">
            <v>0</v>
          </cell>
        </row>
      </sheetData>
      <sheetData sheetId="645">
        <row r="6">
          <cell r="R6">
            <v>0</v>
          </cell>
        </row>
      </sheetData>
      <sheetData sheetId="646">
        <row r="6">
          <cell r="R6">
            <v>0</v>
          </cell>
        </row>
      </sheetData>
      <sheetData sheetId="647">
        <row r="6">
          <cell r="R6">
            <v>0</v>
          </cell>
        </row>
      </sheetData>
      <sheetData sheetId="648">
        <row r="6">
          <cell r="R6">
            <v>0</v>
          </cell>
        </row>
      </sheetData>
      <sheetData sheetId="649">
        <row r="6">
          <cell r="R6">
            <v>0</v>
          </cell>
        </row>
      </sheetData>
      <sheetData sheetId="650">
        <row r="6">
          <cell r="R6">
            <v>0</v>
          </cell>
        </row>
      </sheetData>
      <sheetData sheetId="651">
        <row r="6">
          <cell r="R6">
            <v>0</v>
          </cell>
        </row>
      </sheetData>
      <sheetData sheetId="652">
        <row r="6">
          <cell r="R6">
            <v>0</v>
          </cell>
        </row>
      </sheetData>
      <sheetData sheetId="653">
        <row r="6">
          <cell r="R6">
            <v>0</v>
          </cell>
        </row>
      </sheetData>
      <sheetData sheetId="654">
        <row r="6">
          <cell r="R6">
            <v>0</v>
          </cell>
        </row>
      </sheetData>
      <sheetData sheetId="655">
        <row r="6">
          <cell r="R6">
            <v>0</v>
          </cell>
        </row>
      </sheetData>
      <sheetData sheetId="656">
        <row r="6">
          <cell r="R6">
            <v>0</v>
          </cell>
        </row>
      </sheetData>
      <sheetData sheetId="657">
        <row r="6">
          <cell r="R6">
            <v>0</v>
          </cell>
        </row>
      </sheetData>
      <sheetData sheetId="658">
        <row r="6">
          <cell r="R6">
            <v>0</v>
          </cell>
        </row>
      </sheetData>
      <sheetData sheetId="659">
        <row r="6">
          <cell r="R6">
            <v>0</v>
          </cell>
        </row>
      </sheetData>
      <sheetData sheetId="660">
        <row r="6">
          <cell r="R6">
            <v>0</v>
          </cell>
        </row>
      </sheetData>
      <sheetData sheetId="661">
        <row r="6">
          <cell r="R6">
            <v>0</v>
          </cell>
        </row>
      </sheetData>
      <sheetData sheetId="662">
        <row r="6">
          <cell r="R6">
            <v>0</v>
          </cell>
        </row>
      </sheetData>
      <sheetData sheetId="663">
        <row r="6">
          <cell r="R6">
            <v>0</v>
          </cell>
        </row>
      </sheetData>
      <sheetData sheetId="664">
        <row r="6">
          <cell r="R6">
            <v>0</v>
          </cell>
        </row>
      </sheetData>
      <sheetData sheetId="665">
        <row r="6">
          <cell r="R6">
            <v>0</v>
          </cell>
        </row>
      </sheetData>
      <sheetData sheetId="666">
        <row r="6">
          <cell r="R6">
            <v>0</v>
          </cell>
        </row>
      </sheetData>
      <sheetData sheetId="667">
        <row r="6">
          <cell r="R6">
            <v>0</v>
          </cell>
        </row>
      </sheetData>
      <sheetData sheetId="668">
        <row r="6">
          <cell r="R6">
            <v>0</v>
          </cell>
        </row>
      </sheetData>
      <sheetData sheetId="669">
        <row r="6">
          <cell r="R6">
            <v>0</v>
          </cell>
        </row>
      </sheetData>
      <sheetData sheetId="670">
        <row r="6">
          <cell r="R6">
            <v>0</v>
          </cell>
        </row>
      </sheetData>
      <sheetData sheetId="671">
        <row r="6">
          <cell r="R6">
            <v>0</v>
          </cell>
        </row>
      </sheetData>
      <sheetData sheetId="672">
        <row r="6">
          <cell r="R6">
            <v>0</v>
          </cell>
        </row>
      </sheetData>
      <sheetData sheetId="673">
        <row r="6">
          <cell r="R6">
            <v>0</v>
          </cell>
        </row>
      </sheetData>
      <sheetData sheetId="674">
        <row r="6">
          <cell r="R6">
            <v>0</v>
          </cell>
        </row>
      </sheetData>
      <sheetData sheetId="675">
        <row r="6">
          <cell r="R6">
            <v>0</v>
          </cell>
        </row>
      </sheetData>
      <sheetData sheetId="676">
        <row r="6">
          <cell r="R6">
            <v>0</v>
          </cell>
        </row>
      </sheetData>
      <sheetData sheetId="677">
        <row r="6">
          <cell r="R6">
            <v>0</v>
          </cell>
        </row>
      </sheetData>
      <sheetData sheetId="678">
        <row r="6">
          <cell r="R6">
            <v>0</v>
          </cell>
        </row>
      </sheetData>
      <sheetData sheetId="679">
        <row r="6">
          <cell r="R6">
            <v>0</v>
          </cell>
        </row>
      </sheetData>
      <sheetData sheetId="680">
        <row r="6">
          <cell r="R6">
            <v>0</v>
          </cell>
        </row>
      </sheetData>
      <sheetData sheetId="681">
        <row r="6">
          <cell r="R6">
            <v>0</v>
          </cell>
        </row>
      </sheetData>
      <sheetData sheetId="682">
        <row r="6">
          <cell r="R6">
            <v>0</v>
          </cell>
        </row>
      </sheetData>
      <sheetData sheetId="683">
        <row r="6">
          <cell r="R6">
            <v>0</v>
          </cell>
        </row>
      </sheetData>
      <sheetData sheetId="684">
        <row r="6">
          <cell r="R6">
            <v>0</v>
          </cell>
        </row>
      </sheetData>
      <sheetData sheetId="685">
        <row r="6">
          <cell r="R6">
            <v>0</v>
          </cell>
        </row>
      </sheetData>
      <sheetData sheetId="686">
        <row r="6">
          <cell r="R6">
            <v>0</v>
          </cell>
        </row>
      </sheetData>
      <sheetData sheetId="687">
        <row r="6">
          <cell r="R6">
            <v>0</v>
          </cell>
        </row>
      </sheetData>
      <sheetData sheetId="688">
        <row r="6">
          <cell r="R6">
            <v>0</v>
          </cell>
        </row>
      </sheetData>
      <sheetData sheetId="689">
        <row r="6">
          <cell r="R6">
            <v>0</v>
          </cell>
        </row>
      </sheetData>
      <sheetData sheetId="690">
        <row r="6">
          <cell r="R6">
            <v>0</v>
          </cell>
        </row>
      </sheetData>
      <sheetData sheetId="691">
        <row r="6">
          <cell r="R6">
            <v>0</v>
          </cell>
        </row>
      </sheetData>
      <sheetData sheetId="692">
        <row r="6">
          <cell r="R6">
            <v>0</v>
          </cell>
        </row>
      </sheetData>
      <sheetData sheetId="693">
        <row r="6">
          <cell r="R6">
            <v>0</v>
          </cell>
        </row>
      </sheetData>
      <sheetData sheetId="694">
        <row r="6">
          <cell r="R6">
            <v>0</v>
          </cell>
        </row>
      </sheetData>
      <sheetData sheetId="695">
        <row r="6">
          <cell r="R6">
            <v>0</v>
          </cell>
        </row>
      </sheetData>
      <sheetData sheetId="696">
        <row r="6">
          <cell r="R6">
            <v>0</v>
          </cell>
        </row>
      </sheetData>
      <sheetData sheetId="697">
        <row r="6">
          <cell r="R6">
            <v>0</v>
          </cell>
        </row>
      </sheetData>
      <sheetData sheetId="698">
        <row r="6">
          <cell r="R6">
            <v>0</v>
          </cell>
        </row>
      </sheetData>
      <sheetData sheetId="699">
        <row r="6">
          <cell r="R6">
            <v>0</v>
          </cell>
        </row>
      </sheetData>
      <sheetData sheetId="700">
        <row r="6">
          <cell r="R6">
            <v>0</v>
          </cell>
        </row>
      </sheetData>
      <sheetData sheetId="701">
        <row r="6">
          <cell r="R6">
            <v>0</v>
          </cell>
        </row>
      </sheetData>
      <sheetData sheetId="702">
        <row r="6">
          <cell r="R6">
            <v>0</v>
          </cell>
        </row>
      </sheetData>
      <sheetData sheetId="703">
        <row r="6">
          <cell r="R6">
            <v>0</v>
          </cell>
        </row>
      </sheetData>
      <sheetData sheetId="704">
        <row r="6">
          <cell r="R6">
            <v>0</v>
          </cell>
        </row>
      </sheetData>
      <sheetData sheetId="705">
        <row r="6">
          <cell r="R6">
            <v>0</v>
          </cell>
        </row>
      </sheetData>
      <sheetData sheetId="706">
        <row r="6">
          <cell r="R6">
            <v>0</v>
          </cell>
        </row>
      </sheetData>
      <sheetData sheetId="707">
        <row r="6">
          <cell r="R6">
            <v>0</v>
          </cell>
        </row>
      </sheetData>
      <sheetData sheetId="708">
        <row r="6">
          <cell r="R6">
            <v>0</v>
          </cell>
        </row>
      </sheetData>
      <sheetData sheetId="709">
        <row r="6">
          <cell r="R6">
            <v>0</v>
          </cell>
        </row>
      </sheetData>
      <sheetData sheetId="710">
        <row r="6">
          <cell r="R6">
            <v>0</v>
          </cell>
        </row>
      </sheetData>
      <sheetData sheetId="711">
        <row r="6">
          <cell r="R6">
            <v>0</v>
          </cell>
        </row>
      </sheetData>
      <sheetData sheetId="712">
        <row r="6">
          <cell r="R6">
            <v>0</v>
          </cell>
        </row>
      </sheetData>
      <sheetData sheetId="713">
        <row r="6">
          <cell r="R6">
            <v>0</v>
          </cell>
        </row>
      </sheetData>
      <sheetData sheetId="714">
        <row r="6">
          <cell r="R6">
            <v>0</v>
          </cell>
        </row>
      </sheetData>
      <sheetData sheetId="715">
        <row r="6">
          <cell r="R6">
            <v>0</v>
          </cell>
        </row>
      </sheetData>
      <sheetData sheetId="716">
        <row r="6">
          <cell r="R6">
            <v>0</v>
          </cell>
        </row>
      </sheetData>
      <sheetData sheetId="717">
        <row r="6">
          <cell r="R6">
            <v>0</v>
          </cell>
        </row>
      </sheetData>
      <sheetData sheetId="718">
        <row r="6">
          <cell r="R6">
            <v>0</v>
          </cell>
        </row>
      </sheetData>
      <sheetData sheetId="719">
        <row r="6">
          <cell r="R6">
            <v>0</v>
          </cell>
        </row>
      </sheetData>
      <sheetData sheetId="720">
        <row r="6">
          <cell r="R6">
            <v>0</v>
          </cell>
        </row>
      </sheetData>
      <sheetData sheetId="721">
        <row r="6">
          <cell r="R6">
            <v>0</v>
          </cell>
        </row>
      </sheetData>
      <sheetData sheetId="722">
        <row r="6">
          <cell r="R6">
            <v>0</v>
          </cell>
        </row>
      </sheetData>
      <sheetData sheetId="723">
        <row r="6">
          <cell r="R6">
            <v>0</v>
          </cell>
        </row>
      </sheetData>
      <sheetData sheetId="724">
        <row r="6">
          <cell r="R6">
            <v>0</v>
          </cell>
        </row>
      </sheetData>
      <sheetData sheetId="725">
        <row r="6">
          <cell r="R6">
            <v>0</v>
          </cell>
        </row>
      </sheetData>
      <sheetData sheetId="726">
        <row r="6">
          <cell r="R6">
            <v>0</v>
          </cell>
        </row>
      </sheetData>
      <sheetData sheetId="727">
        <row r="6">
          <cell r="R6">
            <v>0</v>
          </cell>
        </row>
      </sheetData>
      <sheetData sheetId="728">
        <row r="6">
          <cell r="R6">
            <v>0</v>
          </cell>
        </row>
      </sheetData>
      <sheetData sheetId="729">
        <row r="6">
          <cell r="R6">
            <v>0</v>
          </cell>
        </row>
      </sheetData>
      <sheetData sheetId="730">
        <row r="6">
          <cell r="R6">
            <v>0</v>
          </cell>
        </row>
      </sheetData>
      <sheetData sheetId="731">
        <row r="6">
          <cell r="R6">
            <v>0</v>
          </cell>
        </row>
      </sheetData>
      <sheetData sheetId="732">
        <row r="6">
          <cell r="R6">
            <v>0</v>
          </cell>
        </row>
      </sheetData>
      <sheetData sheetId="733">
        <row r="6">
          <cell r="R6">
            <v>0</v>
          </cell>
        </row>
      </sheetData>
      <sheetData sheetId="734">
        <row r="6">
          <cell r="R6">
            <v>0</v>
          </cell>
        </row>
      </sheetData>
      <sheetData sheetId="735">
        <row r="6">
          <cell r="R6">
            <v>0</v>
          </cell>
        </row>
      </sheetData>
      <sheetData sheetId="736">
        <row r="6">
          <cell r="R6">
            <v>0</v>
          </cell>
        </row>
      </sheetData>
      <sheetData sheetId="737">
        <row r="6">
          <cell r="R6">
            <v>0</v>
          </cell>
        </row>
      </sheetData>
      <sheetData sheetId="738">
        <row r="6">
          <cell r="R6">
            <v>0</v>
          </cell>
        </row>
      </sheetData>
      <sheetData sheetId="739">
        <row r="6">
          <cell r="R6">
            <v>0</v>
          </cell>
        </row>
      </sheetData>
      <sheetData sheetId="740">
        <row r="6">
          <cell r="R6">
            <v>0</v>
          </cell>
        </row>
      </sheetData>
      <sheetData sheetId="741">
        <row r="6">
          <cell r="R6">
            <v>0</v>
          </cell>
        </row>
      </sheetData>
      <sheetData sheetId="742">
        <row r="6">
          <cell r="R6">
            <v>0</v>
          </cell>
        </row>
      </sheetData>
      <sheetData sheetId="743">
        <row r="6">
          <cell r="R6">
            <v>0</v>
          </cell>
        </row>
      </sheetData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>
        <row r="6">
          <cell r="R6">
            <v>0</v>
          </cell>
        </row>
      </sheetData>
      <sheetData sheetId="808">
        <row r="6">
          <cell r="R6">
            <v>0</v>
          </cell>
        </row>
      </sheetData>
      <sheetData sheetId="809">
        <row r="6">
          <cell r="R6">
            <v>0</v>
          </cell>
        </row>
      </sheetData>
      <sheetData sheetId="810">
        <row r="6">
          <cell r="R6">
            <v>0</v>
          </cell>
        </row>
      </sheetData>
      <sheetData sheetId="811">
        <row r="6">
          <cell r="R6">
            <v>0</v>
          </cell>
        </row>
      </sheetData>
      <sheetData sheetId="812">
        <row r="6">
          <cell r="R6">
            <v>0</v>
          </cell>
        </row>
      </sheetData>
      <sheetData sheetId="813">
        <row r="6">
          <cell r="R6">
            <v>0</v>
          </cell>
        </row>
      </sheetData>
      <sheetData sheetId="814">
        <row r="6">
          <cell r="R6">
            <v>0</v>
          </cell>
        </row>
      </sheetData>
      <sheetData sheetId="815">
        <row r="6">
          <cell r="R6">
            <v>0</v>
          </cell>
        </row>
      </sheetData>
      <sheetData sheetId="816">
        <row r="6">
          <cell r="R6">
            <v>0</v>
          </cell>
        </row>
      </sheetData>
      <sheetData sheetId="817">
        <row r="6">
          <cell r="R6">
            <v>0</v>
          </cell>
        </row>
      </sheetData>
      <sheetData sheetId="818">
        <row r="6">
          <cell r="R6">
            <v>0</v>
          </cell>
        </row>
      </sheetData>
      <sheetData sheetId="819">
        <row r="6">
          <cell r="R6">
            <v>0</v>
          </cell>
        </row>
      </sheetData>
      <sheetData sheetId="820">
        <row r="6">
          <cell r="R6">
            <v>0</v>
          </cell>
        </row>
      </sheetData>
      <sheetData sheetId="821">
        <row r="6">
          <cell r="R6">
            <v>0</v>
          </cell>
        </row>
      </sheetData>
      <sheetData sheetId="822">
        <row r="6">
          <cell r="R6">
            <v>0</v>
          </cell>
        </row>
      </sheetData>
      <sheetData sheetId="823">
        <row r="6">
          <cell r="R6">
            <v>0</v>
          </cell>
        </row>
      </sheetData>
      <sheetData sheetId="824">
        <row r="6">
          <cell r="R6">
            <v>0</v>
          </cell>
        </row>
      </sheetData>
      <sheetData sheetId="825">
        <row r="6">
          <cell r="R6">
            <v>0</v>
          </cell>
        </row>
      </sheetData>
      <sheetData sheetId="826">
        <row r="6">
          <cell r="R6">
            <v>0</v>
          </cell>
        </row>
      </sheetData>
      <sheetData sheetId="827">
        <row r="6">
          <cell r="R6">
            <v>0</v>
          </cell>
        </row>
      </sheetData>
      <sheetData sheetId="828">
        <row r="6">
          <cell r="R6">
            <v>0</v>
          </cell>
        </row>
      </sheetData>
      <sheetData sheetId="829">
        <row r="6">
          <cell r="R6">
            <v>0</v>
          </cell>
        </row>
      </sheetData>
      <sheetData sheetId="830">
        <row r="6">
          <cell r="R6">
            <v>0</v>
          </cell>
        </row>
      </sheetData>
      <sheetData sheetId="831">
        <row r="6">
          <cell r="R6">
            <v>0</v>
          </cell>
        </row>
      </sheetData>
      <sheetData sheetId="832">
        <row r="6">
          <cell r="R6">
            <v>0</v>
          </cell>
        </row>
      </sheetData>
      <sheetData sheetId="833">
        <row r="6">
          <cell r="R6">
            <v>0</v>
          </cell>
        </row>
      </sheetData>
      <sheetData sheetId="834">
        <row r="6">
          <cell r="R6">
            <v>0</v>
          </cell>
        </row>
      </sheetData>
      <sheetData sheetId="835">
        <row r="6">
          <cell r="R6">
            <v>0</v>
          </cell>
        </row>
      </sheetData>
      <sheetData sheetId="836">
        <row r="6">
          <cell r="R6">
            <v>0</v>
          </cell>
        </row>
      </sheetData>
      <sheetData sheetId="837">
        <row r="6">
          <cell r="R6">
            <v>0</v>
          </cell>
        </row>
      </sheetData>
      <sheetData sheetId="838">
        <row r="6">
          <cell r="R6">
            <v>0</v>
          </cell>
        </row>
      </sheetData>
      <sheetData sheetId="839">
        <row r="6">
          <cell r="R6">
            <v>0</v>
          </cell>
        </row>
      </sheetData>
      <sheetData sheetId="840">
        <row r="6">
          <cell r="R6">
            <v>0</v>
          </cell>
        </row>
      </sheetData>
      <sheetData sheetId="841">
        <row r="6">
          <cell r="R6">
            <v>0</v>
          </cell>
        </row>
      </sheetData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 refreshError="1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>
        <row r="6">
          <cell r="R6">
            <v>0</v>
          </cell>
        </row>
      </sheetData>
      <sheetData sheetId="944">
        <row r="6">
          <cell r="R6">
            <v>0</v>
          </cell>
        </row>
      </sheetData>
      <sheetData sheetId="945">
        <row r="6">
          <cell r="R6">
            <v>0</v>
          </cell>
        </row>
      </sheetData>
      <sheetData sheetId="946">
        <row r="6">
          <cell r="R6">
            <v>0</v>
          </cell>
        </row>
      </sheetData>
      <sheetData sheetId="947">
        <row r="6">
          <cell r="R6">
            <v>0</v>
          </cell>
        </row>
      </sheetData>
      <sheetData sheetId="948">
        <row r="6">
          <cell r="R6">
            <v>0</v>
          </cell>
        </row>
      </sheetData>
      <sheetData sheetId="949">
        <row r="6">
          <cell r="R6">
            <v>0</v>
          </cell>
        </row>
      </sheetData>
      <sheetData sheetId="950">
        <row r="6">
          <cell r="R6">
            <v>0</v>
          </cell>
        </row>
      </sheetData>
      <sheetData sheetId="951">
        <row r="6">
          <cell r="R6">
            <v>0</v>
          </cell>
        </row>
      </sheetData>
      <sheetData sheetId="952">
        <row r="6">
          <cell r="R6">
            <v>0</v>
          </cell>
        </row>
      </sheetData>
      <sheetData sheetId="953">
        <row r="6">
          <cell r="R6">
            <v>0</v>
          </cell>
        </row>
      </sheetData>
      <sheetData sheetId="954">
        <row r="6">
          <cell r="R6">
            <v>0</v>
          </cell>
        </row>
      </sheetData>
      <sheetData sheetId="955">
        <row r="6">
          <cell r="R6">
            <v>0</v>
          </cell>
        </row>
      </sheetData>
      <sheetData sheetId="956">
        <row r="6">
          <cell r="R6">
            <v>0</v>
          </cell>
        </row>
      </sheetData>
      <sheetData sheetId="957">
        <row r="6">
          <cell r="R6">
            <v>0</v>
          </cell>
        </row>
      </sheetData>
      <sheetData sheetId="958">
        <row r="6">
          <cell r="R6">
            <v>0</v>
          </cell>
        </row>
      </sheetData>
      <sheetData sheetId="959">
        <row r="6">
          <cell r="R6">
            <v>0</v>
          </cell>
        </row>
      </sheetData>
      <sheetData sheetId="960">
        <row r="6">
          <cell r="R6">
            <v>0</v>
          </cell>
        </row>
      </sheetData>
      <sheetData sheetId="961">
        <row r="6">
          <cell r="R6">
            <v>0</v>
          </cell>
        </row>
      </sheetData>
      <sheetData sheetId="962">
        <row r="6">
          <cell r="R6">
            <v>0</v>
          </cell>
        </row>
      </sheetData>
      <sheetData sheetId="963">
        <row r="6">
          <cell r="R6">
            <v>0</v>
          </cell>
        </row>
      </sheetData>
      <sheetData sheetId="964">
        <row r="6">
          <cell r="R6">
            <v>0</v>
          </cell>
        </row>
      </sheetData>
      <sheetData sheetId="965">
        <row r="6">
          <cell r="R6">
            <v>0</v>
          </cell>
        </row>
      </sheetData>
      <sheetData sheetId="966">
        <row r="6">
          <cell r="R6">
            <v>0</v>
          </cell>
        </row>
      </sheetData>
      <sheetData sheetId="967">
        <row r="6">
          <cell r="R6">
            <v>0</v>
          </cell>
        </row>
      </sheetData>
      <sheetData sheetId="968">
        <row r="6">
          <cell r="R6">
            <v>0</v>
          </cell>
        </row>
      </sheetData>
      <sheetData sheetId="969">
        <row r="6">
          <cell r="R6">
            <v>0</v>
          </cell>
        </row>
      </sheetData>
      <sheetData sheetId="970">
        <row r="6">
          <cell r="R6">
            <v>0</v>
          </cell>
        </row>
      </sheetData>
      <sheetData sheetId="971">
        <row r="6">
          <cell r="R6">
            <v>0</v>
          </cell>
        </row>
      </sheetData>
      <sheetData sheetId="972">
        <row r="6">
          <cell r="R6">
            <v>0</v>
          </cell>
        </row>
      </sheetData>
      <sheetData sheetId="973">
        <row r="6">
          <cell r="R6">
            <v>0</v>
          </cell>
        </row>
      </sheetData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>
        <row r="6">
          <cell r="R6">
            <v>0</v>
          </cell>
        </row>
      </sheetData>
      <sheetData sheetId="1040">
        <row r="6">
          <cell r="R6">
            <v>0</v>
          </cell>
        </row>
      </sheetData>
      <sheetData sheetId="1041">
        <row r="6">
          <cell r="R6">
            <v>0</v>
          </cell>
        </row>
      </sheetData>
      <sheetData sheetId="1042">
        <row r="6">
          <cell r="R6">
            <v>0</v>
          </cell>
        </row>
      </sheetData>
      <sheetData sheetId="1043">
        <row r="6">
          <cell r="R6">
            <v>0</v>
          </cell>
        </row>
      </sheetData>
      <sheetData sheetId="1044">
        <row r="6">
          <cell r="R6">
            <v>0</v>
          </cell>
        </row>
      </sheetData>
      <sheetData sheetId="1045">
        <row r="6">
          <cell r="R6">
            <v>0</v>
          </cell>
        </row>
      </sheetData>
      <sheetData sheetId="1046">
        <row r="6">
          <cell r="R6">
            <v>0</v>
          </cell>
        </row>
      </sheetData>
      <sheetData sheetId="1047">
        <row r="6">
          <cell r="R6">
            <v>0</v>
          </cell>
        </row>
      </sheetData>
      <sheetData sheetId="1048">
        <row r="6">
          <cell r="R6">
            <v>0</v>
          </cell>
        </row>
      </sheetData>
      <sheetData sheetId="1049">
        <row r="6">
          <cell r="R6">
            <v>0</v>
          </cell>
        </row>
      </sheetData>
      <sheetData sheetId="1050">
        <row r="6">
          <cell r="R6">
            <v>0</v>
          </cell>
        </row>
      </sheetData>
      <sheetData sheetId="1051">
        <row r="6">
          <cell r="R6">
            <v>0</v>
          </cell>
        </row>
      </sheetData>
      <sheetData sheetId="1052">
        <row r="6">
          <cell r="R6">
            <v>0</v>
          </cell>
        </row>
      </sheetData>
      <sheetData sheetId="1053">
        <row r="6">
          <cell r="R6">
            <v>0</v>
          </cell>
        </row>
      </sheetData>
      <sheetData sheetId="1054">
        <row r="6">
          <cell r="R6">
            <v>0</v>
          </cell>
        </row>
      </sheetData>
      <sheetData sheetId="1055">
        <row r="6">
          <cell r="R6">
            <v>0</v>
          </cell>
        </row>
      </sheetData>
      <sheetData sheetId="1056">
        <row r="6">
          <cell r="R6">
            <v>0</v>
          </cell>
        </row>
      </sheetData>
      <sheetData sheetId="1057">
        <row r="6">
          <cell r="R6">
            <v>0</v>
          </cell>
        </row>
      </sheetData>
      <sheetData sheetId="1058">
        <row r="6">
          <cell r="R6">
            <v>0</v>
          </cell>
        </row>
      </sheetData>
      <sheetData sheetId="1059">
        <row r="6">
          <cell r="R6">
            <v>0</v>
          </cell>
        </row>
      </sheetData>
      <sheetData sheetId="1060">
        <row r="6">
          <cell r="R6">
            <v>0</v>
          </cell>
        </row>
      </sheetData>
      <sheetData sheetId="1061">
        <row r="6">
          <cell r="R6">
            <v>0</v>
          </cell>
        </row>
      </sheetData>
      <sheetData sheetId="1062">
        <row r="6">
          <cell r="R6">
            <v>0</v>
          </cell>
        </row>
      </sheetData>
      <sheetData sheetId="1063">
        <row r="6">
          <cell r="R6">
            <v>0</v>
          </cell>
        </row>
      </sheetData>
      <sheetData sheetId="1064">
        <row r="6">
          <cell r="R6">
            <v>0</v>
          </cell>
        </row>
      </sheetData>
      <sheetData sheetId="1065">
        <row r="6">
          <cell r="R6">
            <v>0</v>
          </cell>
        </row>
      </sheetData>
      <sheetData sheetId="1066">
        <row r="6">
          <cell r="R6">
            <v>0</v>
          </cell>
        </row>
      </sheetData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>
        <row r="6">
          <cell r="R6">
            <v>0</v>
          </cell>
        </row>
      </sheetData>
      <sheetData sheetId="1168"/>
      <sheetData sheetId="1169"/>
      <sheetData sheetId="1170"/>
      <sheetData sheetId="1171"/>
      <sheetData sheetId="1172"/>
      <sheetData sheetId="1173"/>
      <sheetData sheetId="1174"/>
      <sheetData sheetId="1175">
        <row r="6">
          <cell r="R6">
            <v>0</v>
          </cell>
        </row>
      </sheetData>
      <sheetData sheetId="1176">
        <row r="6">
          <cell r="R6">
            <v>0</v>
          </cell>
        </row>
      </sheetData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  <sheetName val="Finansal tamamlanma Eğrisi"/>
      <sheetName val="I BLOK -11.70 TEMEL BETON"/>
      <sheetName val="I BLOK -7.60 DÖŞEME (2)"/>
      <sheetName val="I BLOK -11.70 KOLON BETON"/>
      <sheetName val="I BLOK -11.70 PERDE BETON"/>
      <sheetName val="I BLOK -11.70 KİRİŞ"/>
      <sheetName val="I BLOK -7.60 DÖŞEME"/>
      <sheetName val="E BLOK -11.70 TEMEL BETON "/>
      <sheetName val="Dış Kapak"/>
      <sheetName val="İçindekiler"/>
      <sheetName val="ICMAL"/>
      <sheetName val="PURSANTAJ"/>
      <sheetName val="DAIRE"/>
      <sheetName val="AVANS"/>
      <sheetName val="TAKIP"/>
      <sheetName val="ARKA KAPAK"/>
      <sheetName val="önyüz"/>
      <sheetName val="Demirbaş Haf.Öd."/>
      <sheetName val="SATIS"/>
      <sheetName val="Faturanızı Özelleştirin"/>
      <sheetName val="DRENAJ HENDEK (2)"/>
      <sheetName val="TESİSAT"/>
      <sheetName val="İCMAL"/>
      <sheetName val="BLOK-KEŞİF"/>
      <sheetName val="rayiç"/>
      <sheetName val="katsayılar"/>
      <sheetName val="CPI2010.xls"/>
      <sheetName val="CPI2010"/>
      <sheetName val="çarpan"/>
      <sheetName val=" N Finansal Eğri"/>
      <sheetName val="Katsayi"/>
      <sheetName val="I_BLOK_-11_70_TEMEL_BETON"/>
      <sheetName val="I_BLOK_-7_60_DÖŞEME_(2)"/>
      <sheetName val="I_BLOK_-11_70_KOLON_BETON"/>
      <sheetName val="I_BLOK_-11_70_PERDE_BETON"/>
      <sheetName val="I_BLOK_-11_70_KİRİŞ"/>
      <sheetName val="I_BLOK_-7_60_DÖŞEME"/>
      <sheetName val="E_BLOK_-11_70_TEMEL_BETON_"/>
      <sheetName val="Dış_Kapak"/>
      <sheetName val="ARKA_KAPAK"/>
      <sheetName val="Demirbaş_Haf_Öd_"/>
      <sheetName val="Faturanızı_Özelleştirin"/>
      <sheetName val="DRENAJ_HENDEK_(2)"/>
      <sheetName val="입찰내역 발주처 양식"/>
      <sheetName val="DATA"/>
      <sheetName val="TABLO_3"/>
      <sheetName val="Bina Mahal INDEX"/>
      <sheetName val="I_BLOK_-11_70_TEMEL_BETON1"/>
      <sheetName val="I_BLOK_-7_60_DÖŞEME_(2)1"/>
      <sheetName val="I_BLOK_-11_70_KOLON_BETON1"/>
      <sheetName val="I_BLOK_-11_70_PERDE_BETON1"/>
      <sheetName val="I_BLOK_-11_70_KİRİŞ1"/>
      <sheetName val="I_BLOK_-7_60_DÖŞEME1"/>
      <sheetName val="E_BLOK_-11_70_TEMEL_BETON_1"/>
      <sheetName val="Dış_Kapak1"/>
      <sheetName val="ARKA_KAPAK1"/>
      <sheetName val="Demirbaş_Haf_Öd_1"/>
      <sheetName val="Faturanızı_Özelleştirin1"/>
      <sheetName val="DRENAJ_HENDEK_(2)1"/>
      <sheetName val="CPI2010_xls"/>
      <sheetName val="_N_Finansal_Eğri"/>
      <sheetName val="입찰내역_발주처_양식"/>
      <sheetName val="tefen_hes"/>
      <sheetName val="Aylık yık_ üni-zayii"/>
      <sheetName val="Kolommen_balans"/>
      <sheetName val="konutfiyat"/>
      <sheetName val="HAKEDİŞ "/>
      <sheetName val="TABLO01"/>
      <sheetName val="Sayfa4"/>
      <sheetName val="Köprü İşleri"/>
      <sheetName val="#REF"/>
      <sheetName val="YEŞİL DEF. KÖPRÜ"/>
      <sheetName val="_REF"/>
      <sheetName val="YEŞİL DEF_ KÖPRÜ"/>
      <sheetName val="METRAJ İCMALİ-1 "/>
      <sheetName val="Sheet1"/>
      <sheetName val="Beton Nakli"/>
      <sheetName val="dşgsydata"/>
      <sheetName val="genel poz mik"/>
      <sheetName val="Hakediş"/>
      <sheetName val="VERİ"/>
      <sheetName val="Y.F.T."/>
      <sheetName val="İKSA pile records"/>
      <sheetName val="gbicmalayri"/>
      <sheetName val="LISTE"/>
      <sheetName val="GB12"/>
      <sheetName val="GB"/>
      <sheetName val="DEGISKENLER"/>
      <sheetName val="B. Fiyatlar"/>
      <sheetName val="_xls__xls__xls__xls__xls__xls__"/>
      <sheetName val="Sayfa1"/>
      <sheetName val="I_BLOK_-11_70_TEMEL_BETON2"/>
      <sheetName val="I_BLOK_-7_60_DÖŞEME_(2)2"/>
      <sheetName val="I_BLOK_-11_70_KOLON_BETON2"/>
      <sheetName val="I_BLOK_-11_70_PERDE_BETON2"/>
      <sheetName val="I_BLOK_-11_70_KİRİŞ2"/>
      <sheetName val="I_BLOK_-7_60_DÖŞEME2"/>
      <sheetName val="E_BLOK_-11_70_TEMEL_BETON_2"/>
      <sheetName val="Dış_Kapak2"/>
      <sheetName val="ARKA_KAPAK2"/>
      <sheetName val="Demirbaş_Haf_Öd_2"/>
      <sheetName val="Faturanızı_Özelleştirin2"/>
      <sheetName val="DRENAJ_HENDEK_(2)2"/>
      <sheetName val="CPI2010_xls1"/>
      <sheetName val="_N_Finansal_Eğri1"/>
      <sheetName val="입찰내역_발주처_양식1"/>
      <sheetName val="İKSA_pile_records"/>
      <sheetName val="Bina_Mahal_INDEX"/>
      <sheetName val="Aylık_yık__üni-zayii"/>
      <sheetName val="HAKEDİŞ_"/>
      <sheetName val="Plan"/>
      <sheetName val="FitOutConfCentre"/>
      <sheetName val="Finansal_tamamlanma_Eğrisi"/>
      <sheetName val="XLR_NoRangeSheet"/>
      <sheetName val="Cash2"/>
      <sheetName val="Z"/>
      <sheetName val="B03"/>
      <sheetName val="6-Yeşil Defter."/>
      <sheetName val="GEN.BİL."/>
      <sheetName val="RAPOR"/>
      <sheetName val="kpk"/>
      <sheetName val="KAYNAK DOSYASI"/>
      <sheetName val="Reference Input"/>
      <sheetName val="LIST"/>
      <sheetName val="Database-Material"/>
      <sheetName val="oranlar"/>
      <sheetName val="sal"/>
      <sheetName val="ÖBF.10B"/>
      <sheetName val="ÖBF.10C"/>
      <sheetName val="DEMİR İCMAL"/>
      <sheetName val="ÖBF.13"/>
      <sheetName val="ÖBF.15"/>
      <sheetName val="ÖBF.16"/>
      <sheetName val="ÖBF.17"/>
      <sheetName val="ÖBF.18"/>
      <sheetName val="ÖBF.19"/>
      <sheetName val="ÖBF.20"/>
      <sheetName val="ÖBF.04"/>
      <sheetName val="ÖBF.05"/>
      <sheetName val="ÖBF.06"/>
      <sheetName val="ÖBF.08"/>
      <sheetName val="ÖBF.09A"/>
      <sheetName val="ÖBF.09B"/>
      <sheetName val="ÖBF.09C"/>
      <sheetName val="YFZ.01"/>
      <sheetName val="YFZ.02"/>
      <sheetName val="YFZ.03"/>
      <sheetName val="YFZ.04"/>
      <sheetName val="YFZ.05"/>
      <sheetName val="YFZ.06"/>
      <sheetName val="YFZ.07"/>
      <sheetName val="YFZ.08"/>
      <sheetName val="YFZ.09"/>
      <sheetName val="KEŞİF"/>
      <sheetName val="demir"/>
      <sheetName val="SIVA"/>
      <sheetName val="I_BLOK_-11_70_TEMEL_BETON3"/>
      <sheetName val="I_BLOK_-7_60_DÖŞEME_(2)3"/>
      <sheetName val="I_BLOK_-11_70_KOLON_BETON3"/>
      <sheetName val="I_BLOK_-11_70_PERDE_BETON3"/>
      <sheetName val="I_BLOK_-11_70_KİRİŞ3"/>
      <sheetName val="I_BLOK_-7_60_DÖŞEME3"/>
      <sheetName val="E_BLOK_-11_70_TEMEL_BETON_3"/>
      <sheetName val="Dış_Kapak3"/>
      <sheetName val="ARKA_KAPAK3"/>
      <sheetName val="Demirbaş_Haf_Öd_3"/>
      <sheetName val="Faturanızı_Özelleştirin3"/>
      <sheetName val="DRENAJ_HENDEK_(2)3"/>
      <sheetName val="CPI2010_xls2"/>
      <sheetName val="_N_Finansal_Eğri2"/>
      <sheetName val="입찰내역_발주처_양식2"/>
      <sheetName val="İKSA_pile_records1"/>
      <sheetName val="Bina_Mahal_INDEX1"/>
      <sheetName val="Aylık_yık__üni-zayii1"/>
      <sheetName val="HAKEDİŞ_1"/>
      <sheetName val="DATA Ekipman"/>
      <sheetName val="TUMTASERON"/>
      <sheetName val="Sayfa2"/>
      <sheetName val="Sayfa3"/>
      <sheetName val="PROGRAM"/>
      <sheetName val="CASHFLOW"/>
      <sheetName val="İhzar"/>
      <sheetName val="metin"/>
      <sheetName val="eritme"/>
      <sheetName val="irsaliye tesbit4_5"/>
      <sheetName val="TOTAL"/>
      <sheetName val="ID"/>
      <sheetName val="MİZAN (2)"/>
      <sheetName val="Tuta"/>
      <sheetName val="MalMık"/>
      <sheetName val="YD.Topİş"/>
      <sheetName val="İlan"/>
      <sheetName val="Proje"/>
      <sheetName val="Puantaj"/>
      <sheetName val="9.Taşeron"/>
      <sheetName val="Data_Genel"/>
      <sheetName val="1.11.b"/>
      <sheetName val="İstinat Duvarları"/>
      <sheetName val="Realized Payments"/>
      <sheetName val="HUD YOLU DUVAR 8 MT"/>
      <sheetName val="Summary"/>
      <sheetName val="YENİ"/>
      <sheetName val="veri tabanı"/>
      <sheetName val="irsaliye tesbit4-5"/>
      <sheetName val="KAP1"/>
      <sheetName val="KAPAK"/>
      <sheetName val="metraj syf."/>
      <sheetName val="yeşil defter "/>
      <sheetName val="veriler"/>
      <sheetName val="2500-Ö"/>
      <sheetName val="ATAŞMAN-KARTAL"/>
      <sheetName val="KAP-KAR"/>
      <sheetName val="KAP-MAL"/>
      <sheetName val="şebeke"/>
      <sheetName val="Satir Bazli Odeme Listesi"/>
      <sheetName val="TEMEL KALIP"/>
      <sheetName val="mal_onay"/>
      <sheetName val="imalat_icmal"/>
      <sheetName val="AOP Summary-2"/>
      <sheetName val="PriceSummary"/>
      <sheetName val="Genel"/>
      <sheetName val="Ek Bilgi"/>
      <sheetName val="BF 2003"/>
      <sheetName val="Yeşil.Defter.Kapak"/>
      <sheetName val="attach 4-18"/>
      <sheetName val="keşif özeti"/>
      <sheetName val="KLICE"/>
      <sheetName val="Keşif İcmali"/>
      <sheetName val="COST-TZ"/>
      <sheetName val="POZ AD BR"/>
      <sheetName val="METRAJ"/>
      <sheetName val="İŞ PROĞRAMI"/>
      <sheetName val="#_dwgs"/>
      <sheetName val="fİYATLAR"/>
      <sheetName val="PERAKENDE"/>
      <sheetName val="NAKLİYELER"/>
      <sheetName val="equipment"/>
      <sheetName val="indirect_equipment (X)"/>
      <sheetName val="rayıc"/>
      <sheetName val=" ICMALI"/>
      <sheetName val="KADIKES2"/>
      <sheetName val="Gelir-Gider Gercek"/>
      <sheetName val="B3.Pers-Data"/>
      <sheetName val="191+935"/>
      <sheetName val="dBase"/>
      <sheetName val="menfezdata"/>
      <sheetName val="menfeztutanak"/>
      <sheetName val="fiyat2"/>
      <sheetName val="Beton"/>
      <sheetName val="B.SEHİR-Y.YIL"/>
      <sheetName val="KM KANATLI"/>
      <sheetName val="İLERLEME"/>
      <sheetName val="TBL_03"/>
      <sheetName val="TBL_04"/>
      <sheetName val="TBL_09"/>
      <sheetName val="TBL_12"/>
      <sheetName val="TBL_15"/>
      <sheetName val="FinansalTE"/>
      <sheetName val="Finansal t. Eğrisi"/>
      <sheetName val="boq"/>
      <sheetName val="cover"/>
      <sheetName val="lob"/>
      <sheetName val="대비"/>
      <sheetName val="k"/>
      <sheetName val="Akaryakıt"/>
      <sheetName val="Malzeme Fiyatları"/>
      <sheetName val="Rayiçler"/>
      <sheetName val="A(Rev.3)"/>
      <sheetName val="Table"/>
      <sheetName val="net fin."/>
      <sheetName val="Accrual"/>
      <sheetName val="3S"/>
      <sheetName val="Bayi_hedef"/>
      <sheetName val="25490HS"/>
      <sheetName val="Financials (PBC)"/>
      <sheetName val="LISTS"/>
      <sheetName val="KIDTAZ"/>
      <sheetName val="CARPAN"/>
      <sheetName val="net_fin_"/>
      <sheetName val="Financials_(PBC)"/>
      <sheetName val="Payments"/>
      <sheetName val="Sheet2"/>
      <sheetName val="Number of Stores (Yatırım)"/>
      <sheetName val="Gross Profit Margin"/>
      <sheetName val="Sheet3"/>
      <sheetName val="değerler"/>
      <sheetName val="RESTATEMENT OF PREPAID EXPENSES"/>
      <sheetName val=" back-up"/>
      <sheetName val="Detay Transfer Sekmesi"/>
      <sheetName val="Genel Giderler Back-Up"/>
      <sheetName val="СВОДНАЯ "/>
      <sheetName val="x"/>
      <sheetName val="Criteria"/>
      <sheetName val="Currency"/>
      <sheetName val="Hesap Kodları"/>
      <sheetName val="Karşılaştırma"/>
      <sheetName val="Taşeronlar Özet"/>
      <sheetName val="Özet"/>
      <sheetName val="İŞ-GG-KAR"/>
      <sheetName val="BORULAR"/>
      <sheetName val="Sabitler"/>
      <sheetName val="Insaat"/>
      <sheetName val="S4"/>
      <sheetName val="YP-AZR"/>
      <sheetName val="DL-AZR"/>
      <sheetName val="IL-AZR"/>
      <sheetName val="S_GE-AZR"/>
      <sheetName val="HO_GE-AZR"/>
      <sheetName val="AE_SUM"/>
      <sheetName val="MEKANIK TESİSAT KEŞİF ÖZETİ"/>
      <sheetName val="KatSayı"/>
      <sheetName val="SifonikYağmur"/>
      <sheetName val="Hava Ekp."/>
      <sheetName val="Pompa-mukayese"/>
      <sheetName val="Santral-Fan"/>
      <sheetName val="ÖzetTablo"/>
      <sheetName val="Cihaz mukayese"/>
      <sheetName val="Sismik"/>
      <sheetName val="JETFAN"/>
      <sheetName val="YERDEN ISITMA"/>
      <sheetName val="İCMAL SAYFASI"/>
      <sheetName val="FİRMA LİSTESİ"/>
      <sheetName val="Info"/>
      <sheetName val="Tut 1"/>
      <sheetName val="Aging Analysis"/>
      <sheetName val="ADANA"/>
      <sheetName val="ADASATIS"/>
      <sheetName val="BCALISMATABLOSU"/>
      <sheetName val="EDSATIS"/>
      <sheetName val="GEBSATIS"/>
      <sheetName val="IZSATIS"/>
      <sheetName val="SATIŞ ÇALIŞMA"/>
      <sheetName val="Holidays"/>
      <sheetName val="tablo"/>
      <sheetName val="İş Programı"/>
      <sheetName val="Mizan-Haz"/>
      <sheetName val="Mizan-Mart"/>
      <sheetName val="Mizan-Mayıs"/>
      <sheetName val="Mizan-Temmuz"/>
      <sheetName val="hakedişler kaydı"/>
      <sheetName val="Esleme_bilgi"/>
      <sheetName val="ÝCMAL"/>
      <sheetName val="yap.işler üstyapı"/>
      <sheetName val="YCMAL"/>
      <sheetName val="bfk2002"/>
      <sheetName val="TaşeronRaporu"/>
      <sheetName val="HiPath3000"/>
      <sheetName val="Analiz "/>
      <sheetName val="I_BLOK_-11_70_TEMEL_BETON4"/>
      <sheetName val="I_BLOK_-7_60_DÖŞEME_(2)4"/>
      <sheetName val="I_BLOK_-11_70_KOLON_BETON4"/>
      <sheetName val="I_BLOK_-11_70_PERDE_BETON4"/>
      <sheetName val="I_BLOK_-11_70_KİRİŞ4"/>
      <sheetName val="I_BLOK_-7_60_DÖŞEME4"/>
      <sheetName val="E_BLOK_-11_70_TEMEL_BETON_4"/>
      <sheetName val="Dış_Kapak4"/>
      <sheetName val="ARKA_KAPAK4"/>
      <sheetName val="Demirbaş_Haf_Öd_4"/>
      <sheetName val="Faturanızı_Özelleştirin4"/>
      <sheetName val="DRENAJ_HENDEK_(2)4"/>
      <sheetName val="CPI2010_xls3"/>
      <sheetName val="_N_Finansal_Eğri3"/>
      <sheetName val="입찰내역_발주처_양식3"/>
      <sheetName val="İKSA_pile_records2"/>
      <sheetName val="Bina_Mahal_INDEX2"/>
      <sheetName val="Aylık_yık__üni-zayii2"/>
      <sheetName val="HAKEDİŞ_2"/>
      <sheetName val="Köprü_İşleri"/>
      <sheetName val="YEŞİL_DEF__KÖPRÜ"/>
      <sheetName val="YEŞİL_DEF__KÖPRÜ1"/>
      <sheetName val="METRAJ_İCMALİ-1_"/>
      <sheetName val="Beton_Nakli"/>
      <sheetName val="genel_poz_mik"/>
      <sheetName val="Y_F_T_"/>
      <sheetName val="B__Fiyatlar"/>
      <sheetName val="DATA_Ekipman"/>
      <sheetName val="1_11_b"/>
      <sheetName val="6-Yeşil_Defter_"/>
      <sheetName val="GEN_BİL_"/>
      <sheetName val="İstinat_Duvarları"/>
      <sheetName val="ÖBF_10B"/>
      <sheetName val="ÖBF_10C"/>
      <sheetName val="DEMİR_İCMAL"/>
      <sheetName val="ÖBF_13"/>
      <sheetName val="ÖBF_15"/>
      <sheetName val="ÖBF_16"/>
      <sheetName val="ÖBF_17"/>
      <sheetName val="ÖBF_18"/>
      <sheetName val="ÖBF_19"/>
      <sheetName val="ÖBF_20"/>
      <sheetName val="ÖBF_04"/>
      <sheetName val="ÖBF_05"/>
      <sheetName val="ÖBF_06"/>
      <sheetName val="ÖBF_08"/>
      <sheetName val="ÖBF_09A"/>
      <sheetName val="ÖBF_09B"/>
      <sheetName val="ÖBF_09C"/>
      <sheetName val="YFZ_01"/>
      <sheetName val="YFZ_02"/>
      <sheetName val="YFZ_03"/>
      <sheetName val="YFZ_04"/>
      <sheetName val="YFZ_05"/>
      <sheetName val="YFZ_06"/>
      <sheetName val="YFZ_07"/>
      <sheetName val="YFZ_08"/>
      <sheetName val="YFZ_09"/>
      <sheetName val="AOP_Summary-2"/>
      <sheetName val="veri_tabanı"/>
      <sheetName val="irsaliye_tesbit4_5"/>
      <sheetName val="Ek_Bilgi"/>
      <sheetName val="BF_2003"/>
      <sheetName val="Yeşil_Defter_Kapak"/>
      <sheetName val="attach_4-18"/>
      <sheetName val="MİZAN_(2)"/>
      <sheetName val="YD_Topİş"/>
      <sheetName val="HUD_YOLU_DUVAR_8_MT"/>
      <sheetName val="Reference_Input"/>
      <sheetName val="KAYNAK_DOSYASI"/>
      <sheetName val="keşif_özeti"/>
      <sheetName val="Realized_Payments"/>
      <sheetName val="Keşif_İcmali"/>
      <sheetName val="POZ_AD_BR"/>
      <sheetName val="İŞ_PROĞRAMI"/>
      <sheetName val="indirect_equipment_(X)"/>
      <sheetName val="_ICMALI"/>
      <sheetName val="Gelir-Gider_Gercek"/>
      <sheetName val="irsaliye_tesbit4-5"/>
      <sheetName val="B3_Pers-Data"/>
      <sheetName val="B_SEHİR-Y_YIL"/>
      <sheetName val="KM_KANATLI"/>
      <sheetName val="Taşeronlar_Özet"/>
      <sheetName val="metraj_syf_"/>
      <sheetName val="yeşil_defter_"/>
      <sheetName val="P3"/>
      <sheetName val="1.Taslak"/>
      <sheetName val="İMALATTABLO"/>
      <sheetName val="Rayiç 04"/>
      <sheetName val="I_BLOK_-11_70_TEMEL_BETON5"/>
      <sheetName val="I_BLOK_-7_60_DÖŞEME_(2)5"/>
      <sheetName val="I_BLOK_-11_70_KOLON_BETON5"/>
      <sheetName val="I_BLOK_-11_70_PERDE_BETON5"/>
      <sheetName val="I_BLOK_-11_70_KİRİŞ5"/>
      <sheetName val="I_BLOK_-7_60_DÖŞEME5"/>
      <sheetName val="E_BLOK_-11_70_TEMEL_BETON_5"/>
      <sheetName val="Dış_Kapak5"/>
      <sheetName val="ARKA_KAPAK5"/>
      <sheetName val="Demirbaş_Haf_Öd_5"/>
      <sheetName val="Faturanızı_Özelleştirin5"/>
      <sheetName val="DRENAJ_HENDEK_(2)5"/>
      <sheetName val="CPI2010_xls4"/>
      <sheetName val="_N_Finansal_Eğri4"/>
      <sheetName val="입찰내역_발주처_양식4"/>
      <sheetName val="B__Fiyatlar1"/>
      <sheetName val="Aylık_yık__üni-zayii3"/>
      <sheetName val="HAKEDİŞ_3"/>
      <sheetName val="Bina_Mahal_INDEX3"/>
      <sheetName val="İKSA_pile_records3"/>
      <sheetName val="Finansal_tamamlanma_Eğrisi1"/>
      <sheetName val="Köprü_İşleri1"/>
      <sheetName val="YEŞİL_DEF__KÖPRÜ2"/>
      <sheetName val="YEŞİL_DEF__KÖPRÜ3"/>
      <sheetName val="METRAJ_İCMALİ-1_1"/>
      <sheetName val="Beton_Nakli1"/>
      <sheetName val="genel_poz_mik1"/>
      <sheetName val="Y_F_T_1"/>
      <sheetName val="DATA_Ekipman1"/>
      <sheetName val="1_11_b1"/>
      <sheetName val="6-Yeşil_Defter_1"/>
      <sheetName val="İstinat_Duvarları1"/>
      <sheetName val="GEN_BİL_1"/>
      <sheetName val="ÖBF_10B1"/>
      <sheetName val="ÖBF_10C1"/>
      <sheetName val="DEMİR_İCMAL1"/>
      <sheetName val="ÖBF_131"/>
      <sheetName val="ÖBF_151"/>
      <sheetName val="ÖBF_161"/>
      <sheetName val="ÖBF_171"/>
      <sheetName val="ÖBF_181"/>
      <sheetName val="ÖBF_191"/>
      <sheetName val="ÖBF_201"/>
      <sheetName val="ÖBF_041"/>
      <sheetName val="ÖBF_051"/>
      <sheetName val="ÖBF_061"/>
      <sheetName val="ÖBF_081"/>
      <sheetName val="ÖBF_09A1"/>
      <sheetName val="ÖBF_09B1"/>
      <sheetName val="ÖBF_09C1"/>
      <sheetName val="YFZ_011"/>
      <sheetName val="YFZ_021"/>
      <sheetName val="YFZ_031"/>
      <sheetName val="YFZ_041"/>
      <sheetName val="YFZ_051"/>
      <sheetName val="YFZ_061"/>
      <sheetName val="YFZ_071"/>
      <sheetName val="YFZ_081"/>
      <sheetName val="YFZ_091"/>
      <sheetName val="AOP_Summary-21"/>
      <sheetName val="irsaliye_tesbit4_51"/>
      <sheetName val="Ek_Bilgi1"/>
      <sheetName val="veri_tabanı1"/>
      <sheetName val="BF_20031"/>
      <sheetName val="Yeşil_Defter_Kapak1"/>
      <sheetName val="MİZAN_(2)1"/>
      <sheetName val="YD_Topİş1"/>
      <sheetName val="attach_4-181"/>
      <sheetName val="Reference_Input1"/>
      <sheetName val="KAYNAK_DOSYASI1"/>
      <sheetName val="HUD_YOLU_DUVAR_8_MT1"/>
      <sheetName val="keşif_özeti1"/>
      <sheetName val="Realized_Payments1"/>
      <sheetName val="Keşif_İcmali1"/>
      <sheetName val="POZ_AD_BR1"/>
      <sheetName val="İŞ_PROĞRAMI1"/>
      <sheetName val="indirect_equipment_(X)1"/>
      <sheetName val="_ICMALI1"/>
      <sheetName val="Gelir-Gider_Gercek1"/>
      <sheetName val="irsaliye_tesbit4-51"/>
      <sheetName val="B3_Pers-Data1"/>
      <sheetName val="B_SEHİR-Y_YIL1"/>
      <sheetName val="KM_KANATLI1"/>
      <sheetName val="Taşeronlar_Özet1"/>
      <sheetName val="metraj_syf_1"/>
      <sheetName val="yeşil_defter_1"/>
      <sheetName val="Кедровский"/>
      <sheetName val="I_BLOK_-11_70_TEMEL_BETON6"/>
      <sheetName val="I_BLOK_-7_60_DÖŞEME_(2)6"/>
      <sheetName val="I_BLOK_-11_70_KOLON_BETON6"/>
      <sheetName val="I_BLOK_-11_70_PERDE_BETON6"/>
      <sheetName val="I_BLOK_-11_70_KİRİŞ6"/>
      <sheetName val="I_BLOK_-7_60_DÖŞEME6"/>
      <sheetName val="E_BLOK_-11_70_TEMEL_BETON_6"/>
      <sheetName val="Dış_Kapak6"/>
      <sheetName val="ARKA_KAPAK6"/>
      <sheetName val="Demirbaş_Haf_Öd_6"/>
      <sheetName val="Faturanızı_Özelleştirin6"/>
      <sheetName val="DRENAJ_HENDEK_(2)6"/>
      <sheetName val="CPI2010_xls5"/>
      <sheetName val="_N_Finansal_Eğri5"/>
      <sheetName val="입찰내역_발주처_양식5"/>
      <sheetName val="Aylık_yık__üni-zayii4"/>
      <sheetName val="HAKEDİŞ_4"/>
      <sheetName val="Bina_Mahal_INDEX4"/>
      <sheetName val="B__Fiyatlar2"/>
      <sheetName val="İKSA_pile_records4"/>
      <sheetName val="Finansal_tamamlanma_Eğrisi2"/>
      <sheetName val="Köprü_İşleri2"/>
      <sheetName val="YEŞİL_DEF__KÖPRÜ4"/>
      <sheetName val="YEŞİL_DEF__KÖPRÜ5"/>
      <sheetName val="METRAJ_İCMALİ-1_2"/>
      <sheetName val="Beton_Nakli2"/>
      <sheetName val="genel_poz_mik2"/>
      <sheetName val="Y_F_T_2"/>
      <sheetName val="DATA_Ekipman2"/>
      <sheetName val="1_11_b2"/>
      <sheetName val="6-Yeşil_Defter_2"/>
      <sheetName val="İstinat_Duvarları2"/>
      <sheetName val="GEN_BİL_2"/>
      <sheetName val="ÖBF_10B2"/>
      <sheetName val="ÖBF_10C2"/>
      <sheetName val="DEMİR_İCMAL2"/>
      <sheetName val="ÖBF_132"/>
      <sheetName val="ÖBF_152"/>
      <sheetName val="ÖBF_162"/>
      <sheetName val="ÖBF_172"/>
      <sheetName val="ÖBF_182"/>
      <sheetName val="ÖBF_192"/>
      <sheetName val="ÖBF_202"/>
      <sheetName val="ÖBF_042"/>
      <sheetName val="ÖBF_052"/>
      <sheetName val="ÖBF_062"/>
      <sheetName val="ÖBF_082"/>
      <sheetName val="ÖBF_09A2"/>
      <sheetName val="ÖBF_09B2"/>
      <sheetName val="ÖBF_09C2"/>
      <sheetName val="YFZ_012"/>
      <sheetName val="YFZ_022"/>
      <sheetName val="YFZ_032"/>
      <sheetName val="YFZ_042"/>
      <sheetName val="YFZ_052"/>
      <sheetName val="YFZ_062"/>
      <sheetName val="YFZ_072"/>
      <sheetName val="YFZ_082"/>
      <sheetName val="YFZ_092"/>
      <sheetName val="irsaliye_tesbit4_52"/>
      <sheetName val="Ek_Bilgi2"/>
      <sheetName val="AOP_Summary-22"/>
      <sheetName val="veri_tabanı2"/>
      <sheetName val="BF_20032"/>
      <sheetName val="Yeşil_Defter_Kapak2"/>
      <sheetName val="attach_4-182"/>
      <sheetName val="MİZAN_(2)2"/>
      <sheetName val="YD_Topİş2"/>
      <sheetName val="Reference_Input2"/>
      <sheetName val="KAYNAK_DOSYASI2"/>
      <sheetName val="HUD_YOLU_DUVAR_8_MT2"/>
      <sheetName val="keşif_özeti2"/>
      <sheetName val="Realized_Payments2"/>
      <sheetName val="Keşif_İcmali2"/>
      <sheetName val="POZ_AD_BR2"/>
      <sheetName val="İŞ_PROĞRAMI2"/>
      <sheetName val="indirect_equipment_(X)2"/>
      <sheetName val="_ICMALI2"/>
      <sheetName val="Gelir-Gider_Gercek2"/>
      <sheetName val="irsaliye_tesbit4-52"/>
      <sheetName val="B3_Pers-Data2"/>
      <sheetName val="B_SEHİR-Y_YIL2"/>
      <sheetName val="KM_KANATLI2"/>
      <sheetName val="Taşeronlar_Özet2"/>
      <sheetName val="metraj_syf_2"/>
      <sheetName val="yeşil_defter_2"/>
      <sheetName val="TEMEL_KALIP"/>
      <sheetName val="Finansal_t__Eğrisi"/>
      <sheetName val="FİRMA_LİSTESİ"/>
      <sheetName val="Tut_1"/>
      <sheetName val="Aging_Analysis"/>
      <sheetName val="SATIŞ_ÇALIŞMA"/>
      <sheetName val="İş_Programı"/>
      <sheetName val="hakedişler_kaydı"/>
      <sheetName val="yap_işler_üstyapı"/>
      <sheetName val="1_Taslak"/>
      <sheetName val="Rayiç_04"/>
      <sheetName val="I_BLOK_-11_70_TEMEL_BETON8"/>
      <sheetName val="I_BLOK_-7_60_DÖŞEME_(2)8"/>
      <sheetName val="I_BLOK_-11_70_KOLON_BETON8"/>
      <sheetName val="I_BLOK_-11_70_PERDE_BETON8"/>
      <sheetName val="I_BLOK_-11_70_KİRİŞ8"/>
      <sheetName val="I_BLOK_-7_60_DÖŞEME8"/>
      <sheetName val="E_BLOK_-11_70_TEMEL_BETON_8"/>
      <sheetName val="Dış_Kapak8"/>
      <sheetName val="ARKA_KAPAK8"/>
      <sheetName val="Demirbaş_Haf_Öd_8"/>
      <sheetName val="Faturanızı_Özelleştirin8"/>
      <sheetName val="DRENAJ_HENDEK_(2)8"/>
      <sheetName val="CPI2010_xls7"/>
      <sheetName val="_N_Finansal_Eğri7"/>
      <sheetName val="입찰내역_발주처_양식7"/>
      <sheetName val="B__Fiyatlar4"/>
      <sheetName val="Aylık_yık__üni-zayii6"/>
      <sheetName val="HAKEDİŞ_6"/>
      <sheetName val="Bina_Mahal_INDEX6"/>
      <sheetName val="İKSA_pile_records6"/>
      <sheetName val="Finansal_tamamlanma_Eğrisi4"/>
      <sheetName val="Köprü_İşleri4"/>
      <sheetName val="YEŞİL_DEF__KÖPRÜ8"/>
      <sheetName val="YEŞİL_DEF__KÖPRÜ9"/>
      <sheetName val="METRAJ_İCMALİ-1_4"/>
      <sheetName val="Beton_Nakli4"/>
      <sheetName val="genel_poz_mik4"/>
      <sheetName val="Y_F_T_4"/>
      <sheetName val="DATA_Ekipman4"/>
      <sheetName val="1_11_b4"/>
      <sheetName val="6-Yeşil_Defter_4"/>
      <sheetName val="İstinat_Duvarları4"/>
      <sheetName val="GEN_BİL_4"/>
      <sheetName val="ÖBF_10B4"/>
      <sheetName val="ÖBF_10C4"/>
      <sheetName val="DEMİR_İCMAL4"/>
      <sheetName val="ÖBF_134"/>
      <sheetName val="ÖBF_154"/>
      <sheetName val="ÖBF_164"/>
      <sheetName val="ÖBF_174"/>
      <sheetName val="ÖBF_184"/>
      <sheetName val="ÖBF_194"/>
      <sheetName val="ÖBF_204"/>
      <sheetName val="ÖBF_044"/>
      <sheetName val="ÖBF_054"/>
      <sheetName val="ÖBF_064"/>
      <sheetName val="ÖBF_084"/>
      <sheetName val="ÖBF_09A4"/>
      <sheetName val="ÖBF_09B4"/>
      <sheetName val="ÖBF_09C4"/>
      <sheetName val="YFZ_014"/>
      <sheetName val="YFZ_024"/>
      <sheetName val="YFZ_034"/>
      <sheetName val="YFZ_044"/>
      <sheetName val="YFZ_054"/>
      <sheetName val="YFZ_064"/>
      <sheetName val="YFZ_074"/>
      <sheetName val="YFZ_084"/>
      <sheetName val="YFZ_094"/>
      <sheetName val="AOP_Summary-24"/>
      <sheetName val="irsaliye_tesbit4_54"/>
      <sheetName val="Ek_Bilgi4"/>
      <sheetName val="veri_tabanı4"/>
      <sheetName val="BF_20034"/>
      <sheetName val="Yeşil_Defter_Kapak4"/>
      <sheetName val="MİZAN_(2)4"/>
      <sheetName val="YD_Topİş4"/>
      <sheetName val="attach_4-184"/>
      <sheetName val="Reference_Input4"/>
      <sheetName val="KAYNAK_DOSYASI4"/>
      <sheetName val="HUD_YOLU_DUVAR_8_MT4"/>
      <sheetName val="keşif_özeti4"/>
      <sheetName val="Realized_Payments4"/>
      <sheetName val="Keşif_İcmali4"/>
      <sheetName val="POZ_AD_BR4"/>
      <sheetName val="İŞ_PROĞRAMI4"/>
      <sheetName val="indirect_equipment_(X)4"/>
      <sheetName val="_ICMALI4"/>
      <sheetName val="Gelir-Gider_Gercek4"/>
      <sheetName val="irsaliye_tesbit4-54"/>
      <sheetName val="B3_Pers-Data4"/>
      <sheetName val="B_SEHİR-Y_YIL4"/>
      <sheetName val="KM_KANATLI4"/>
      <sheetName val="Taşeronlar_Özet4"/>
      <sheetName val="metraj_syf_4"/>
      <sheetName val="yeşil_defter_4"/>
      <sheetName val="TEMEL_KALIP2"/>
      <sheetName val="Finansal_t__Eğrisi2"/>
      <sheetName val="FİRMA_LİSTESİ2"/>
      <sheetName val="Tut_12"/>
      <sheetName val="Aging_Analysis2"/>
      <sheetName val="SATIŞ_ÇALIŞMA2"/>
      <sheetName val="İş_Programı2"/>
      <sheetName val="hakedişler_kaydı2"/>
      <sheetName val="yap_işler_üstyapı2"/>
      <sheetName val="1_Taslak2"/>
      <sheetName val="Rayiç_042"/>
      <sheetName val="I_BLOK_-11_70_TEMEL_BETON7"/>
      <sheetName val="I_BLOK_-7_60_DÖŞEME_(2)7"/>
      <sheetName val="I_BLOK_-11_70_KOLON_BETON7"/>
      <sheetName val="I_BLOK_-11_70_PERDE_BETON7"/>
      <sheetName val="I_BLOK_-11_70_KİRİŞ7"/>
      <sheetName val="I_BLOK_-7_60_DÖŞEME7"/>
      <sheetName val="E_BLOK_-11_70_TEMEL_BETON_7"/>
      <sheetName val="Dış_Kapak7"/>
      <sheetName val="ARKA_KAPAK7"/>
      <sheetName val="Demirbaş_Haf_Öd_7"/>
      <sheetName val="Faturanızı_Özelleştirin7"/>
      <sheetName val="DRENAJ_HENDEK_(2)7"/>
      <sheetName val="CPI2010_xls6"/>
      <sheetName val="_N_Finansal_Eğri6"/>
      <sheetName val="입찰내역_발주처_양식6"/>
      <sheetName val="B__Fiyatlar3"/>
      <sheetName val="Aylık_yık__üni-zayii5"/>
      <sheetName val="HAKEDİŞ_5"/>
      <sheetName val="Bina_Mahal_INDEX5"/>
      <sheetName val="İKSA_pile_records5"/>
      <sheetName val="Finansal_tamamlanma_Eğrisi3"/>
      <sheetName val="Köprü_İşleri3"/>
      <sheetName val="YEŞİL_DEF__KÖPRÜ6"/>
      <sheetName val="YEŞİL_DEF__KÖPRÜ7"/>
      <sheetName val="METRAJ_İCMALİ-1_3"/>
      <sheetName val="Beton_Nakli3"/>
      <sheetName val="genel_poz_mik3"/>
      <sheetName val="Y_F_T_3"/>
      <sheetName val="DATA_Ekipman3"/>
      <sheetName val="1_11_b3"/>
      <sheetName val="6-Yeşil_Defter_3"/>
      <sheetName val="İstinat_Duvarları3"/>
      <sheetName val="GEN_BİL_3"/>
      <sheetName val="ÖBF_10B3"/>
      <sheetName val="ÖBF_10C3"/>
      <sheetName val="DEMİR_İCMAL3"/>
      <sheetName val="ÖBF_133"/>
      <sheetName val="ÖBF_153"/>
      <sheetName val="ÖBF_163"/>
      <sheetName val="ÖBF_173"/>
      <sheetName val="ÖBF_183"/>
      <sheetName val="ÖBF_193"/>
      <sheetName val="ÖBF_203"/>
      <sheetName val="ÖBF_043"/>
      <sheetName val="ÖBF_053"/>
      <sheetName val="ÖBF_063"/>
      <sheetName val="ÖBF_083"/>
      <sheetName val="ÖBF_09A3"/>
      <sheetName val="ÖBF_09B3"/>
      <sheetName val="ÖBF_09C3"/>
      <sheetName val="YFZ_013"/>
      <sheetName val="YFZ_023"/>
      <sheetName val="YFZ_033"/>
      <sheetName val="YFZ_043"/>
      <sheetName val="YFZ_053"/>
      <sheetName val="YFZ_063"/>
      <sheetName val="YFZ_073"/>
      <sheetName val="YFZ_083"/>
      <sheetName val="YFZ_093"/>
      <sheetName val="AOP_Summary-23"/>
      <sheetName val="irsaliye_tesbit4_53"/>
      <sheetName val="Ek_Bilgi3"/>
      <sheetName val="veri_tabanı3"/>
      <sheetName val="BF_20033"/>
      <sheetName val="Yeşil_Defter_Kapak3"/>
      <sheetName val="MİZAN_(2)3"/>
      <sheetName val="YD_Topİş3"/>
      <sheetName val="attach_4-183"/>
      <sheetName val="Reference_Input3"/>
      <sheetName val="KAYNAK_DOSYASI3"/>
      <sheetName val="HUD_YOLU_DUVAR_8_MT3"/>
      <sheetName val="keşif_özeti3"/>
      <sheetName val="Realized_Payments3"/>
      <sheetName val="Keşif_İcmali3"/>
      <sheetName val="POZ_AD_BR3"/>
      <sheetName val="İŞ_PROĞRAMI3"/>
      <sheetName val="indirect_equipment_(X)3"/>
      <sheetName val="_ICMALI3"/>
      <sheetName val="Gelir-Gider_Gercek3"/>
      <sheetName val="irsaliye_tesbit4-53"/>
      <sheetName val="B3_Pers-Data3"/>
      <sheetName val="B_SEHİR-Y_YIL3"/>
      <sheetName val="KM_KANATLI3"/>
      <sheetName val="Taşeronlar_Özet3"/>
      <sheetName val="metraj_syf_3"/>
      <sheetName val="yeşil_defter_3"/>
      <sheetName val="TEMEL_KALIP1"/>
      <sheetName val="Finansal_t__Eğrisi1"/>
      <sheetName val="FİRMA_LİSTESİ1"/>
      <sheetName val="Tut_11"/>
      <sheetName val="Aging_Analysis1"/>
      <sheetName val="SATIŞ_ÇALIŞMA1"/>
      <sheetName val="İş_Programı1"/>
      <sheetName val="hakedişler_kaydı1"/>
      <sheetName val="yap_işler_üstyapı1"/>
      <sheetName val="1_Taslak1"/>
      <sheetName val="Rayiç_041"/>
      <sheetName val="KEMERİCMAL"/>
      <sheetName val="ÜSTYAPI İŞLERİ"/>
      <sheetName val="İmalat Keşif Özeti (D)"/>
      <sheetName val="İmalat Keşif Özeti (L7)"/>
      <sheetName val="ANLZ"/>
      <sheetName val="MATRIX"/>
      <sheetName val="Hedefler"/>
      <sheetName val="FF"/>
      <sheetName val="Yap iş sanat"/>
      <sheetName val="Yap iş üst"/>
      <sheetName val="GE. BİLG."/>
      <sheetName val="ANALIZ"/>
      <sheetName val="sıhhi"/>
      <sheetName val="IS PROGRAMI-gerçek (2)"/>
      <sheetName val="Taslak"/>
      <sheetName val="Mamul Br.Mlyt.-MLB-300"/>
      <sheetName val="Ödeme planı"/>
      <sheetName val="İŞ İLERLEM GRAFİĞİ"/>
      <sheetName val="A BLOK BODRUM PERDE KALIP"/>
      <sheetName val="A BLOK BODRUM DÖŞEME BETONU"/>
      <sheetName val="A BLOK BODRUM DÖŞEME KALIP"/>
      <sheetName val="bacalar 9B- 6."/>
      <sheetName val="DOSYA"/>
      <sheetName val="makro"/>
      <sheetName val="Ozet (Rannila)"/>
      <sheetName val="Ozet"/>
      <sheetName val="Taslak (2)"/>
      <sheetName val="ÖN KAPAK"/>
      <sheetName val="baca_emir"/>
      <sheetName val="İŞ PROGRAM-HAKEDİŞ"/>
      <sheetName val="Miktarlar"/>
      <sheetName val="BQMPALOC"/>
      <sheetName val="Данные для расчёта сметы"/>
      <sheetName val="9_Taşeron"/>
      <sheetName val="Satir_Bazli_Odeme_Listesi"/>
      <sheetName val="net_fin_1"/>
      <sheetName val="Financials_(PBC)1"/>
      <sheetName val="Number_of_Stores_(Yatırım)"/>
      <sheetName val="Gross_Profit_Margin"/>
      <sheetName val="RESTATEMENT_OF_PREPAID_EXPENSES"/>
      <sheetName val="Malzeme_Fiyatları"/>
      <sheetName val="A(Rev_3)"/>
      <sheetName val="_back-up"/>
      <sheetName val="Detay_Transfer_Sekmesi"/>
      <sheetName val="Genel_Giderler_Back-Up"/>
      <sheetName val="Hesap_Kodları"/>
      <sheetName val="ÜSTYAPI_İŞLERİ"/>
      <sheetName val="İmalat_Keşif_Özeti_(D)"/>
      <sheetName val="İmalat_Keşif_Özeti_(L7)"/>
      <sheetName val="9_Taşeron1"/>
      <sheetName val="Satir_Bazli_Odeme_Listesi1"/>
      <sheetName val="net_fin_2"/>
      <sheetName val="Financials_(PBC)2"/>
      <sheetName val="Number_of_Stores_(Yatırım)1"/>
      <sheetName val="Gross_Profit_Margin1"/>
      <sheetName val="RESTATEMENT_OF_PREPAID_EXPENSE1"/>
      <sheetName val="Malzeme_Fiyatları1"/>
      <sheetName val="A(Rev_3)1"/>
      <sheetName val="_back-up1"/>
      <sheetName val="Detay_Transfer_Sekmesi1"/>
      <sheetName val="Genel_Giderler_Back-Up1"/>
      <sheetName val="Hesap_Kodları1"/>
      <sheetName val="ÜSTYAPI_İŞLERİ1"/>
      <sheetName val="İmalat_Keşif_Özeti_(D)1"/>
      <sheetName val="İmalat_Keşif_Özeti_(L7)1"/>
      <sheetName val="EKİM"/>
      <sheetName val="зап-3- сцб"/>
      <sheetName val="escon"/>
      <sheetName val="Organizasyon"/>
      <sheetName val="Е"/>
      <sheetName val="GYG (770)"/>
      <sheetName val="Grafik_Altlık"/>
      <sheetName val="03-Data"/>
      <sheetName val=" GBA"/>
      <sheetName val="İTT_Elazığ_KPK"/>
      <sheetName val="electric mechanic"/>
      <sheetName val="HSM"/>
      <sheetName val="faliyet bilgi formu"/>
      <sheetName val="BUTCE KURLARI"/>
      <sheetName val="KUR_HESAP"/>
      <sheetName val="GBA"/>
      <sheetName val="(G)"/>
      <sheetName val="9_Taşeron2"/>
      <sheetName val="Satir_Bazli_Odeme_Listesi2"/>
      <sheetName val="net_fin_3"/>
      <sheetName val="Financials_(PBC)3"/>
      <sheetName val="Number_of_Stores_(Yatırım)2"/>
      <sheetName val="Gross_Profit_Margin2"/>
      <sheetName val="RESTATEMENT_OF_PREPAID_EXPENSE2"/>
      <sheetName val="Malzeme_Fiyatları2"/>
      <sheetName val="A(Rev_3)2"/>
      <sheetName val="ÜSTYAPI_İŞLERİ2"/>
      <sheetName val="İmalat_Keşif_Özeti_(D)2"/>
      <sheetName val="İmalat_Keşif_Özeti_(L7)2"/>
      <sheetName val="_back-up2"/>
      <sheetName val="Detay_Transfer_Sekmesi2"/>
      <sheetName val="Genel_Giderler_Back-Up2"/>
      <sheetName val="Hesap_Kodları2"/>
      <sheetName val="9_Taşeron3"/>
      <sheetName val="Satir_Bazli_Odeme_Listesi3"/>
      <sheetName val="net_fin_4"/>
      <sheetName val="Financials_(PBC)4"/>
      <sheetName val="Number_of_Stores_(Yatırım)3"/>
      <sheetName val="Gross_Profit_Margin3"/>
      <sheetName val="RESTATEMENT_OF_PREPAID_EXPENSE3"/>
      <sheetName val="TEMEL_KALIP3"/>
      <sheetName val="Finansal_t__Eğrisi3"/>
      <sheetName val="Malzeme_Fiyatları3"/>
      <sheetName val="A(Rev_3)3"/>
      <sheetName val="1_Taslak3"/>
      <sheetName val="Rayiç_043"/>
      <sheetName val="_back-up3"/>
      <sheetName val="Detay_Transfer_Sekmesi3"/>
      <sheetName val="Genel_Giderler_Back-Up3"/>
      <sheetName val="Hesap_Kodları3"/>
      <sheetName val="ÜSTYAPI_İŞLERİ3"/>
      <sheetName val="İmalat_Keşif_Özeti_(D)3"/>
      <sheetName val="İmalat_Keşif_Özeti_(L7)3"/>
      <sheetName val="Tut_13"/>
      <sheetName val="Aging_Analysis3"/>
      <sheetName val="SATIŞ_ÇALIŞMA3"/>
      <sheetName val="İş_Programı3"/>
      <sheetName val="hakedişler_kaydı3"/>
      <sheetName val="Finansal_tamamlanma_Eğrisi5"/>
      <sheetName val="9_Taşeron4"/>
      <sheetName val="Satir_Bazli_Odeme_Listesi4"/>
      <sheetName val="net_fin_5"/>
      <sheetName val="Financials_(PBC)5"/>
      <sheetName val="Number_of_Stores_(Yatırım)4"/>
      <sheetName val="Gross_Profit_Margin4"/>
      <sheetName val="RESTATEMENT_OF_PREPAID_EXPENSE4"/>
      <sheetName val="TEMEL_KALIP4"/>
      <sheetName val="Finansal_t__Eğrisi4"/>
      <sheetName val="Malzeme_Fiyatları4"/>
      <sheetName val="A(Rev_3)4"/>
      <sheetName val="1_Taslak4"/>
      <sheetName val="Rayiç_044"/>
      <sheetName val="_back-up4"/>
      <sheetName val="Detay_Transfer_Sekmesi4"/>
      <sheetName val="Genel_Giderler_Back-Up4"/>
      <sheetName val="Hesap_Kodları4"/>
      <sheetName val="ÜSTYAPI_İŞLERİ4"/>
      <sheetName val="İmalat_Keşif_Özeti_(D)4"/>
      <sheetName val="İmalat_Keşif_Özeti_(L7)4"/>
      <sheetName val="Tut_14"/>
      <sheetName val="Aging_Analysis4"/>
      <sheetName val="SATIŞ_ÇALIŞMA4"/>
      <sheetName val="İş_Programı4"/>
      <sheetName val="hakedişler_kaydı4"/>
      <sheetName val="Finansal_tamamlanma_Eğrisi6"/>
      <sheetName val="I_BLOK_-11_70_TEMEL_BETON9"/>
      <sheetName val="I_BLOK_-7_60_DÖŞEME_(2)9"/>
      <sheetName val="I_BLOK_-11_70_KOLON_BETON9"/>
      <sheetName val="I_BLOK_-11_70_PERDE_BETON9"/>
      <sheetName val="I_BLOK_-11_70_KİRİŞ9"/>
      <sheetName val="I_BLOK_-7_60_DÖŞEME9"/>
      <sheetName val="E_BLOK_-11_70_TEMEL_BETON_9"/>
      <sheetName val="Dış_Kapak9"/>
      <sheetName val="ARKA_KAPAK9"/>
      <sheetName val="Demirbaş_Haf_Öd_9"/>
      <sheetName val="Faturanızı_Özelleştirin9"/>
      <sheetName val="DRENAJ_HENDEK_(2)9"/>
      <sheetName val="CPI2010_xls8"/>
      <sheetName val="_N_Finansal_Eğri8"/>
      <sheetName val="입찰내역_발주처_양식8"/>
      <sheetName val="Köprü_İşleri5"/>
      <sheetName val="YEŞİL_DEF__KÖPRÜ10"/>
      <sheetName val="YEŞİL_DEF__KÖPRÜ11"/>
      <sheetName val="METRAJ_İCMALİ-1_5"/>
      <sheetName val="Beton_Nakli5"/>
      <sheetName val="genel_poz_mik5"/>
      <sheetName val="Y_F_T_5"/>
      <sheetName val="Bina_Mahal_INDEX7"/>
      <sheetName val="Aylık_yık__üni-zayii7"/>
      <sheetName val="HAKEDİŞ_7"/>
      <sheetName val="İKSA_pile_records7"/>
      <sheetName val="6-Yeşil_Defter_5"/>
      <sheetName val="GEN_BİL_5"/>
      <sheetName val="KAYNAK_DOSYASI5"/>
      <sheetName val="Reference_Input5"/>
      <sheetName val="B__Fiyatlar5"/>
      <sheetName val="ÖBF_10B5"/>
      <sheetName val="ÖBF_10C5"/>
      <sheetName val="DEMİR_İCMAL5"/>
      <sheetName val="ÖBF_135"/>
      <sheetName val="ÖBF_155"/>
      <sheetName val="ÖBF_165"/>
      <sheetName val="ÖBF_175"/>
      <sheetName val="ÖBF_185"/>
      <sheetName val="ÖBF_195"/>
      <sheetName val="ÖBF_205"/>
      <sheetName val="ÖBF_045"/>
      <sheetName val="ÖBF_055"/>
      <sheetName val="ÖBF_065"/>
      <sheetName val="ÖBF_085"/>
      <sheetName val="ÖBF_09A5"/>
      <sheetName val="ÖBF_09B5"/>
      <sheetName val="ÖBF_09C5"/>
      <sheetName val="YFZ_015"/>
      <sheetName val="YFZ_025"/>
      <sheetName val="YFZ_035"/>
      <sheetName val="YFZ_045"/>
      <sheetName val="YFZ_055"/>
      <sheetName val="YFZ_065"/>
      <sheetName val="YFZ_075"/>
      <sheetName val="YFZ_085"/>
      <sheetName val="YFZ_095"/>
      <sheetName val="9_Taşeron5"/>
      <sheetName val="DATA_Ekipman5"/>
      <sheetName val="1_11_b5"/>
      <sheetName val="veri_tabanı5"/>
      <sheetName val="irsaliye_tesbit4_55"/>
      <sheetName val="irsaliye_tesbit4-55"/>
      <sheetName val="metraj_syf_5"/>
      <sheetName val="yeşil_defter_5"/>
      <sheetName val="İstinat_Duvarları5"/>
      <sheetName val="Realized_Payments5"/>
      <sheetName val="HUD_YOLU_DUVAR_8_MT5"/>
      <sheetName val="Satir_Bazli_Odeme_Listesi5"/>
      <sheetName val="net_fin_6"/>
      <sheetName val="Financials_(PBC)6"/>
      <sheetName val="Number_of_Stores_(Yatırım)5"/>
      <sheetName val="Gross_Profit_Margin5"/>
      <sheetName val="RESTATEMENT_OF_PREPAID_EXPENSE5"/>
      <sheetName val="MİZAN_(2)5"/>
      <sheetName val="YD_Topİş5"/>
      <sheetName val="TEMEL_KALIP5"/>
      <sheetName val="AOP_Summary-25"/>
      <sheetName val="Ek_Bilgi5"/>
      <sheetName val="BF_20035"/>
      <sheetName val="Yeşil_Defter_Kapak5"/>
      <sheetName val="attach_4-185"/>
      <sheetName val="keşif_özeti5"/>
      <sheetName val="Keşif_İcmali5"/>
      <sheetName val="POZ_AD_BR5"/>
      <sheetName val="İŞ_PROĞRAMI5"/>
      <sheetName val="indirect_equipment_(X)5"/>
      <sheetName val="_ICMALI5"/>
      <sheetName val="Gelir-Gider_Gercek5"/>
      <sheetName val="B3_Pers-Data5"/>
      <sheetName val="B_SEHİR-Y_YIL5"/>
      <sheetName val="KM_KANATLI5"/>
      <sheetName val="Finansal_t__Eğrisi5"/>
      <sheetName val="Malzeme_Fiyatları5"/>
      <sheetName val="A(Rev_3)5"/>
      <sheetName val="1_Taslak5"/>
      <sheetName val="Rayiç_045"/>
      <sheetName val="_back-up5"/>
      <sheetName val="Detay_Transfer_Sekmesi5"/>
      <sheetName val="Genel_Giderler_Back-Up5"/>
      <sheetName val="Hesap_Kodları5"/>
      <sheetName val="Taşeronlar_Özet5"/>
      <sheetName val="ÜSTYAPI_İŞLERİ5"/>
      <sheetName val="İmalat_Keşif_Özeti_(D)5"/>
      <sheetName val="İmalat_Keşif_Özeti_(L7)5"/>
      <sheetName val="Tut_15"/>
      <sheetName val="Aging_Analysis5"/>
      <sheetName val="SATIŞ_ÇALIŞMA5"/>
      <sheetName val="İş_Programı5"/>
      <sheetName val="hakedişler_kaydı5"/>
      <sheetName val="MFF GİRİŞ"/>
      <sheetName val="LİSTE FİYATLARI"/>
      <sheetName val="KAYNAKLAR"/>
      <sheetName val="sch"/>
      <sheetName val="1-ÖNKAPAK"/>
      <sheetName val="2-İçindekiler"/>
      <sheetName val="3-İÇKAPAK"/>
      <sheetName val="3-geçici kabul kes."/>
      <sheetName val="3-fiyat farkı kes."/>
      <sheetName val="3-TEMİNAT KESİNTİ TABLO"/>
      <sheetName val="Ceza Tab."/>
      <sheetName val="4-hakediş özet tablosu"/>
      <sheetName val="6-proje icmali"/>
      <sheetName val="7-F.F.İCMAL"/>
      <sheetName val="7- fiyat farkı ŞUBAT 2019 (2)"/>
      <sheetName val="7- fiyat farkı MART 2019"/>
      <sheetName val="8-Temel Altı"/>
      <sheetName val="8-Temel Üstü"/>
      <sheetName val="8-Yurt Çatı-Cephe"/>
      <sheetName val="8-Yurt Bodrum Kat"/>
      <sheetName val="8-Yurt Zemin Kat"/>
      <sheetName val="8-Yurt 1. Kat"/>
      <sheetName val="8-Yurt 2. Kat"/>
      <sheetName val="8-Yurt 3. Kat"/>
      <sheetName val="8-Yurt 4. Kat"/>
      <sheetName val="8-Yurt 5. Kat"/>
      <sheetName val="8-Yurt 6. Kat"/>
      <sheetName val="8-Yurt Çatı"/>
      <sheetName val="8-B Blok Çatı-Cephe"/>
      <sheetName val="8-B Blok Zemin Kat"/>
      <sheetName val="8-B Blok 1. Kat"/>
      <sheetName val="8-B Blok Çatı"/>
      <sheetName val="8-C Blok Çatı-Cephe"/>
      <sheetName val="8-C Blok Zemin Kat"/>
      <sheetName val="8-C Blok 1. Kat"/>
      <sheetName val="8-C Blok 2. Kat"/>
      <sheetName val="8-C Blok Çatı"/>
      <sheetName val="8-ALT YAPI İMALAT"/>
      <sheetName val="8-YAPISAL BİTKİ PEYZAJ"/>
      <sheetName val="8-VAZİYET İML"/>
      <sheetName val="8-Yurt-sosyaltes.mek"/>
      <sheetName val="8-yönbinası.mek "/>
      <sheetName val="8-YURT BLOK ELEKTR."/>
      <sheetName val="8-Yönetim ELEKTR."/>
      <sheetName val="8-ALT YAPI zayıf akım"/>
      <sheetName val="8-Kuvvetli akım"/>
      <sheetName val="9-Fiz.Gerç."/>
      <sheetName val="10-İlerleme Graf."/>
      <sheetName val="11-tek. per list."/>
      <sheetName val="12-İşçi Seçim"/>
      <sheetName val="13-İLAN"/>
      <sheetName val="14-ilan KALDIRMA Tutanağı"/>
      <sheetName val="26-foto"/>
      <sheetName val="VENTILATIE"/>
      <sheetName val="PARALANDIRMA"/>
      <sheetName val="Expense Report"/>
      <sheetName val="HARFLER"/>
      <sheetName val="TEKLİF İCMALİ"/>
      <sheetName val="İNCE İŞLER"/>
      <sheetName val="1.1"/>
      <sheetName val="1.2"/>
      <sheetName val="1.3"/>
      <sheetName val="1.4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4.1"/>
      <sheetName val="4.2"/>
      <sheetName val="4.3"/>
      <sheetName val="4.4"/>
      <sheetName val="4.5"/>
      <sheetName val="4.6"/>
      <sheetName val="4.7"/>
      <sheetName val="4.8"/>
      <sheetName val="4.9"/>
      <sheetName val="4.10"/>
      <sheetName val="5.1"/>
      <sheetName val="5.2"/>
      <sheetName val="5.3"/>
      <sheetName val="5.4"/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6.10"/>
      <sheetName val="6.11"/>
      <sheetName val="7.1"/>
      <sheetName val="7.2"/>
      <sheetName val="7.3"/>
      <sheetName val="7.4"/>
      <sheetName val="7.5"/>
      <sheetName val="Sayfa7"/>
      <sheetName val="1"/>
      <sheetName val="16"/>
      <sheetName val="50"/>
      <sheetName val="BÜTÇE K"/>
      <sheetName val="veri girişi"/>
      <sheetName val="input"/>
      <sheetName val="bsat muflu"/>
      <sheetName val="DOKUM"/>
      <sheetName val="Analiz_"/>
      <sheetName val="MEKANIK_TESİSAT_KEŞİF_ÖZETİ"/>
      <sheetName val="Hava_Ekp_"/>
      <sheetName val="Cihaz_mukayese"/>
      <sheetName val="YERDEN_ISITMA"/>
      <sheetName val="İCMAL_SAYFASI"/>
      <sheetName val="Yap_iş_sanat"/>
      <sheetName val="Yap_iş_üst"/>
      <sheetName val="GE__BİLG_"/>
      <sheetName val="IS_PROGRAMI-gerçek_(2)"/>
      <sheetName val="İNŞAAT"/>
      <sheetName val="234-TAHL."/>
      <sheetName val="227-228"/>
      <sheetName val="228-231"/>
      <sheetName val="231-233"/>
      <sheetName val="233-234"/>
      <sheetName val="teklİf cetvelİ"/>
      <sheetName val="Sayfa1 (2)"/>
      <sheetName val="Offsets &amp; Other Costs"/>
      <sheetName val="на 1 тут"/>
      <sheetName val="Resources"/>
      <sheetName val="Titre"/>
      <sheetName val="Valorisation"/>
      <sheetName val="Vademecum"/>
      <sheetName val="Paramètres"/>
      <sheetName val="TauxFrance"/>
      <sheetName val="BM"/>
      <sheetName val="Construction Team"/>
      <sheetName val="tahakkuk müzekkeresi_1"/>
      <sheetName val="YÖNETİCİ ÖZETİ"/>
      <sheetName val="CASHFLOWS"/>
      <sheetName val="MEP MARKALAR"/>
      <sheetName val="ANALİZ"/>
      <sheetName val="Malzeme Takip"/>
      <sheetName val="$ KURLARI"/>
      <sheetName val="1-12 DIREKTLER MEKANİK"/>
      <sheetName val="Teklif Fişi"/>
      <sheetName val="I"/>
      <sheetName val="20"/>
      <sheetName val="Mhr&amp;Eq"/>
      <sheetName val="ИС-2"/>
      <sheetName val="CBL.Termination"/>
      <sheetName val="database"/>
      <sheetName val="referans"/>
      <sheetName val="İÇERİK"/>
      <sheetName val="FİYAT FARKI HESABI"/>
      <sheetName val="2021 B.F."/>
      <sheetName val="2020 B.F."/>
      <sheetName val="icmal_total"/>
      <sheetName val="ff kisa"/>
      <sheetName val="FFARK MİK TABLOLARI"/>
      <sheetName val="#baþv"/>
      <sheetName val="hastane pursantaj"/>
      <sheetName val="İŞ_İLERLEM_GRAFİĞİ"/>
      <sheetName val="A_BLOK_BODRUM_PERDE_KALIP"/>
      <sheetName val="A_BLOK_BODRUM_DÖŞEME_BETONU"/>
      <sheetName val="A_BLOK_BODRUM_DÖŞEME_KALIP"/>
      <sheetName val="Taslak_(2)"/>
      <sheetName val="ÖN_KAPAK"/>
      <sheetName val="Ozet_(Rannila)"/>
      <sheetName val="FFARK_MİK_TABLOLARI"/>
      <sheetName val="2.tahakkuk"/>
      <sheetName val="taşımalar"/>
      <sheetName val="MÜŞ.KAPAK"/>
      <sheetName val="0.00 kotu döşeme nervür"/>
      <sheetName val="bf2001"/>
      <sheetName val="DIŞ Kapak  "/>
      <sheetName val="analysis"/>
      <sheetName val="FAB별"/>
      <sheetName val="INDIRECT COST"/>
      <sheetName val="Analiz-dec"/>
      <sheetName val="Labor-Dbase"/>
      <sheetName val="TEMMUZ 95"/>
      <sheetName val="EQT-ESTN"/>
      <sheetName val="CTEMCOST"/>
      <sheetName val="KİR-KAR_(2)2"/>
      <sheetName val="ÇARPANLAR"/>
      <sheetName val="METRAJ (10)"/>
      <sheetName val="METRAJ (2)"/>
      <sheetName val="METRAJ (3)"/>
      <sheetName val="METRAJ (4)"/>
      <sheetName val="METRAJ (5)"/>
      <sheetName val="METRAJ (6)"/>
      <sheetName val="METRAJ (7)"/>
      <sheetName val="METRAJ (8)"/>
      <sheetName val="METRAJ (9)"/>
      <sheetName val="coastal"/>
      <sheetName val="electrıcal"/>
      <sheetName val="yeşil (2)"/>
      <sheetName val="drum"/>
      <sheetName val="GLC_ratios_Jun"/>
      <sheetName val="ind. budget"/>
      <sheetName val="Bolt Up"/>
      <sheetName val="Field Handle Fittings"/>
      <sheetName val="Attach Flange"/>
      <sheetName val="Handle &amp; Erect Fab Spools"/>
      <sheetName val="Shop Handle Pipe"/>
      <sheetName val="Olet"/>
      <sheetName val="Shop Handle Fittings"/>
      <sheetName val="Valve Handle"/>
      <sheetName val="W+C+2B"/>
      <sheetName val="kurlar"/>
      <sheetName val="Выплывающие списки"/>
      <sheetName val="2- B.FİYAT&amp;AD-SAAT"/>
      <sheetName val="FİRMA_LİSTESİ3"/>
      <sheetName val="yap_işler_üstyapı3"/>
      <sheetName val="Mamul_Br_Mlyt_-MLB-300"/>
      <sheetName val="Ödeme_planı"/>
      <sheetName val="bacalar_9B-_6_"/>
      <sheetName val="İŞ_PROGRAM-HAKEDİŞ"/>
      <sheetName val="GYG_(770)"/>
      <sheetName val="_GBA"/>
      <sheetName val="electric_mechanic"/>
      <sheetName val="faliyet_bilgi_formu"/>
      <sheetName val="BUTCE_KURLARI"/>
      <sheetName val="BÜTÇE_K"/>
      <sheetName val="veri_girişi"/>
      <sheetName val="3-geçici_kabul_kes_"/>
      <sheetName val="3-fiyat_farkı_kes_"/>
      <sheetName val="3-TEMİNAT_KESİNTİ_TABLO"/>
      <sheetName val="Ceza_Tab_"/>
      <sheetName val="4-hakediş_özet_tablosu"/>
      <sheetName val="6-proje_icmali"/>
      <sheetName val="7-F_F_İCMAL"/>
      <sheetName val="7-_fiyat_farkı_ŞUBAT_2019_(2)"/>
      <sheetName val="7-_fiyat_farkı_MART_2019"/>
      <sheetName val="8-Temel_Altı"/>
      <sheetName val="8-Temel_Üstü"/>
      <sheetName val="8-Yurt_Çatı-Cephe"/>
      <sheetName val="8-Yurt_Bodrum_Kat"/>
      <sheetName val="8-Yurt_Zemin_Kat"/>
      <sheetName val="8-Yurt_1__Kat"/>
      <sheetName val="8-Yurt_2__Kat"/>
      <sheetName val="8-Yurt_3__Kat"/>
      <sheetName val="8-Yurt_4__Kat"/>
      <sheetName val="8-Yurt_5__Kat"/>
      <sheetName val="8-Yurt_6__Kat"/>
      <sheetName val="8-Yurt_Çatı"/>
      <sheetName val="8-B_Blok_Çatı-Cephe"/>
      <sheetName val="8-B_Blok_Zemin_Kat"/>
      <sheetName val="8-B_Blok_1__Kat"/>
      <sheetName val="8-B_Blok_Çatı"/>
      <sheetName val="8-C_Blok_Çatı-Cephe"/>
      <sheetName val="8-C_Blok_Zemin_Kat"/>
      <sheetName val="8-C_Blok_1__Kat"/>
      <sheetName val="8-C_Blok_2__Kat"/>
      <sheetName val="8-C_Blok_Çatı"/>
      <sheetName val="8-ALT_YAPI_İMALAT"/>
      <sheetName val="8-YAPISAL_BİTKİ_PEYZAJ"/>
      <sheetName val="8-VAZİYET_İML"/>
      <sheetName val="8-Yurt-sosyaltes_mek"/>
      <sheetName val="8-yönbinası_mek_"/>
      <sheetName val="8-YURT_BLOK_ELEKTR_"/>
      <sheetName val="8-Yönetim_ELEKTR_"/>
      <sheetName val="8-ALT_YAPI_zayıf_akım"/>
      <sheetName val="8-Kuvvetli_akım"/>
      <sheetName val="9-Fiz_Gerç_"/>
      <sheetName val="10-İlerleme_Graf_"/>
      <sheetName val="11-tek__per_list_"/>
      <sheetName val="12-İşçi_Seçim"/>
      <sheetName val="14-ilan_KALDIRMA_Tutanağı"/>
      <sheetName val="Expense_Report"/>
      <sheetName val="bsat_muflu"/>
      <sheetName val="TEKLİF_İCMALİ"/>
      <sheetName val="İNCE_İŞLER"/>
      <sheetName val="1_1"/>
      <sheetName val="1_2"/>
      <sheetName val="1_3"/>
      <sheetName val="1_4"/>
      <sheetName val="2_1"/>
      <sheetName val="2_2"/>
      <sheetName val="2_3"/>
      <sheetName val="2_4"/>
      <sheetName val="2_5"/>
      <sheetName val="2_6"/>
      <sheetName val="2_7"/>
      <sheetName val="2_8"/>
      <sheetName val="2_9"/>
      <sheetName val="2_10"/>
      <sheetName val="2_11"/>
      <sheetName val="2_12"/>
      <sheetName val="3_1"/>
      <sheetName val="3_2"/>
      <sheetName val="3_3"/>
      <sheetName val="3_4"/>
      <sheetName val="3_5"/>
      <sheetName val="3_6"/>
      <sheetName val="3_7"/>
      <sheetName val="3_8"/>
      <sheetName val="3_9"/>
      <sheetName val="4_1"/>
      <sheetName val="4_2"/>
      <sheetName val="4_3"/>
      <sheetName val="4_4"/>
      <sheetName val="4_5"/>
      <sheetName val="4_6"/>
      <sheetName val="4_7"/>
      <sheetName val="4_8"/>
      <sheetName val="4_9"/>
      <sheetName val="4_10"/>
      <sheetName val="5_1"/>
      <sheetName val="5_2"/>
      <sheetName val="5_3"/>
      <sheetName val="5_4"/>
      <sheetName val="6_1"/>
      <sheetName val="6_2"/>
      <sheetName val="6_3"/>
      <sheetName val="6_4"/>
      <sheetName val="6_5"/>
      <sheetName val="6_6"/>
      <sheetName val="6_7"/>
      <sheetName val="6_8"/>
      <sheetName val="6_9"/>
      <sheetName val="6_10"/>
      <sheetName val="6_11"/>
      <sheetName val="7_1"/>
      <sheetName val="7_2"/>
      <sheetName val="7_3"/>
      <sheetName val="7_4"/>
      <sheetName val="7_5"/>
      <sheetName val="272-273"/>
      <sheetName val="280a-273a"/>
      <sheetName val="267-269"/>
      <sheetName val="(246-247)"/>
      <sheetName val="252-252a"/>
      <sheetName val="247-248"/>
      <sheetName val="259-260"/>
      <sheetName val="262-263"/>
      <sheetName val="265-260"/>
      <sheetName val="267a-268"/>
      <sheetName val="250-251"/>
      <sheetName val="252a-253"/>
      <sheetName val="251-252"/>
      <sheetName val="249-250"/>
      <sheetName val="248-249"/>
      <sheetName val="2.faz"/>
      <sheetName val="yapı kodları"/>
      <sheetName val="ZİRAATANALİZ"/>
      <sheetName val="KPC - Site Management"/>
      <sheetName val="boru menfez kazı"/>
      <sheetName val="103+390-107+250"/>
      <sheetName val="yeşildefter"/>
      <sheetName val="içsayfa"/>
      <sheetName val="Kisan_Ref_BF"/>
      <sheetName val="Sorumluluk List&amp;Idari Sartlar"/>
      <sheetName val="yİllİk"/>
      <sheetName val="Итог по НПО "/>
      <sheetName val="образец 1"/>
      <sheetName val="Огл. Графиков"/>
      <sheetName val="рабочий"/>
      <sheetName val="Текущие цены"/>
      <sheetName val="окраска"/>
      <sheetName val="Цен и инв данные"/>
      <sheetName val="Техн-эк данные"/>
      <sheetName val="Ст стр-ва МОДЕЛЬ"/>
      <sheetName val="ДДП текущие "/>
      <sheetName val="mp-var-001"/>
      <sheetName val="ExchRate"/>
      <sheetName val="6-Planlama ad.s"/>
      <sheetName val="Site Progress detay"/>
      <sheetName val="cost curve calc"/>
      <sheetName val="Средние"/>
    </sheetNames>
    <sheetDataSet>
      <sheetData sheetId="0" refreshError="1"/>
      <sheetData sheetId="1">
        <row r="8">
          <cell r="B8" t="str">
            <v xml:space="preserve">        TURKEY</v>
          </cell>
        </row>
      </sheetData>
      <sheetData sheetId="2" refreshError="1">
        <row r="8">
          <cell r="B8" t="str">
            <v xml:space="preserve">        TURKEY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4">
          <cell r="A4" t="str">
            <v>PROJE ADI (PROJECT NAME)</v>
          </cell>
        </row>
      </sheetData>
      <sheetData sheetId="38">
        <row r="4">
          <cell r="A4" t="str">
            <v>PROJE ADI (PROJECT NAME)</v>
          </cell>
        </row>
      </sheetData>
      <sheetData sheetId="39">
        <row r="4">
          <cell r="A4" t="str">
            <v>PROJE ADI (PROJECT NAME)</v>
          </cell>
        </row>
      </sheetData>
      <sheetData sheetId="40">
        <row r="4">
          <cell r="A4" t="str">
            <v>PROJE ADI (PROJECT NAME)</v>
          </cell>
        </row>
      </sheetData>
      <sheetData sheetId="41">
        <row r="4">
          <cell r="A4" t="str">
            <v>PROJE ADI (PROJECT NAME)</v>
          </cell>
        </row>
      </sheetData>
      <sheetData sheetId="42">
        <row r="4">
          <cell r="A4" t="str">
            <v>PROJE ADI (PROJECT NAME)</v>
          </cell>
        </row>
      </sheetData>
      <sheetData sheetId="43">
        <row r="4">
          <cell r="A4" t="str">
            <v>PROJE ADI (PROJECT NAME)</v>
          </cell>
        </row>
      </sheetData>
      <sheetData sheetId="44">
        <row r="4">
          <cell r="A4" t="str">
            <v>PROJE ADI (PROJECT NAME)</v>
          </cell>
        </row>
      </sheetData>
      <sheetData sheetId="45">
        <row r="4">
          <cell r="A4" t="str">
            <v>PROJE ADI (PROJECT NAME)</v>
          </cell>
        </row>
      </sheetData>
      <sheetData sheetId="46">
        <row r="4">
          <cell r="A4" t="str">
            <v>PROJE ADI (PROJECT NAME)</v>
          </cell>
        </row>
      </sheetData>
      <sheetData sheetId="47">
        <row r="4">
          <cell r="A4" t="str">
            <v>PROJE ADI (PROJECT NAME)</v>
          </cell>
        </row>
      </sheetData>
      <sheetData sheetId="48" refreshError="1"/>
      <sheetData sheetId="49" refreshError="1"/>
      <sheetData sheetId="50" refreshError="1"/>
      <sheetData sheetId="51">
        <row r="4">
          <cell r="A4" t="str">
            <v>PROJE ADI (PROJECT NAME)</v>
          </cell>
        </row>
      </sheetData>
      <sheetData sheetId="52" refreshError="1"/>
      <sheetData sheetId="53">
        <row r="4">
          <cell r="A4" t="str">
            <v>PROJE ADI (PROJECT NAME)</v>
          </cell>
        </row>
      </sheetData>
      <sheetData sheetId="54">
        <row r="4">
          <cell r="A4" t="str">
            <v>PROJE ADI (PROJECT NAME)</v>
          </cell>
        </row>
      </sheetData>
      <sheetData sheetId="55">
        <row r="4">
          <cell r="A4" t="str">
            <v>PROJE ADI (PROJECT NAME)</v>
          </cell>
        </row>
      </sheetData>
      <sheetData sheetId="56">
        <row r="4">
          <cell r="A4" t="str">
            <v>PROJE ADI (PROJECT NAME)</v>
          </cell>
        </row>
      </sheetData>
      <sheetData sheetId="57">
        <row r="4">
          <cell r="A4" t="str">
            <v>PROJE ADI (PROJECT NAME)</v>
          </cell>
        </row>
      </sheetData>
      <sheetData sheetId="58">
        <row r="4">
          <cell r="A4" t="str">
            <v>PROJE ADI (PROJECT NAME)</v>
          </cell>
        </row>
      </sheetData>
      <sheetData sheetId="59">
        <row r="4">
          <cell r="A4" t="str">
            <v>PROJE ADI (PROJECT NAME)</v>
          </cell>
        </row>
      </sheetData>
      <sheetData sheetId="60">
        <row r="4">
          <cell r="A4" t="str">
            <v>PROJE ADI (PROJECT NAME)</v>
          </cell>
        </row>
      </sheetData>
      <sheetData sheetId="61">
        <row r="4">
          <cell r="A4" t="str">
            <v>PROJE ADI (PROJECT NAME)</v>
          </cell>
        </row>
      </sheetData>
      <sheetData sheetId="62">
        <row r="4">
          <cell r="A4" t="str">
            <v>PROJE ADI (PROJECT NAME)</v>
          </cell>
        </row>
      </sheetData>
      <sheetData sheetId="63">
        <row r="4">
          <cell r="A4" t="str">
            <v>PROJE ADI (PROJECT NAME)</v>
          </cell>
        </row>
      </sheetData>
      <sheetData sheetId="64">
        <row r="4">
          <cell r="A4" t="str">
            <v>PROJE ADI (PROJECT NAME)</v>
          </cell>
        </row>
      </sheetData>
      <sheetData sheetId="65">
        <row r="4">
          <cell r="A4" t="str">
            <v>PROJE ADI (PROJECT NAME)</v>
          </cell>
        </row>
      </sheetData>
      <sheetData sheetId="66">
        <row r="4">
          <cell r="A4" t="str">
            <v>PROJE ADI (PROJECT NAME)</v>
          </cell>
        </row>
      </sheetData>
      <sheetData sheetId="67">
        <row r="4">
          <cell r="A4" t="str">
            <v>PROJE ADI (PROJECT NAME)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>
        <row r="4">
          <cell r="A4" t="str">
            <v>PROJE ADI 
(PROJECT NAME)</v>
          </cell>
        </row>
      </sheetData>
      <sheetData sheetId="98">
        <row r="4">
          <cell r="A4" t="str">
            <v>PROJE ADI 
(PROJECT NAME)</v>
          </cell>
        </row>
      </sheetData>
      <sheetData sheetId="99">
        <row r="4">
          <cell r="A4" t="str">
            <v>PROJE ADI (PROJECT NAME)</v>
          </cell>
        </row>
      </sheetData>
      <sheetData sheetId="100">
        <row r="4">
          <cell r="A4" t="str">
            <v>PROJE ADI 
(PROJECT NAME)</v>
          </cell>
        </row>
      </sheetData>
      <sheetData sheetId="101">
        <row r="4">
          <cell r="A4" t="str">
            <v>PROJE ADI (PROJECT NAME)</v>
          </cell>
        </row>
      </sheetData>
      <sheetData sheetId="102">
        <row r="4">
          <cell r="A4" t="str">
            <v>PROJE ADI 
(PROJECT NAME)</v>
          </cell>
        </row>
      </sheetData>
      <sheetData sheetId="103">
        <row r="4">
          <cell r="A4" t="str">
            <v>PROJE ADI 
(PROJECT NAME)</v>
          </cell>
        </row>
      </sheetData>
      <sheetData sheetId="104">
        <row r="4">
          <cell r="A4" t="str">
            <v>PROJE ADI 
(PROJECT NAME)</v>
          </cell>
        </row>
      </sheetData>
      <sheetData sheetId="105">
        <row r="4">
          <cell r="A4" t="str">
            <v>PROJE ADI 
(PROJECT NAME)</v>
          </cell>
        </row>
      </sheetData>
      <sheetData sheetId="106">
        <row r="4">
          <cell r="A4" t="str">
            <v>PROJE ADI 
(PROJECT NAME)</v>
          </cell>
        </row>
      </sheetData>
      <sheetData sheetId="107">
        <row r="4">
          <cell r="A4" t="str">
            <v>PROJE ADI 
(PROJECT NAME)</v>
          </cell>
        </row>
      </sheetData>
      <sheetData sheetId="108">
        <row r="4">
          <cell r="A4" t="str">
            <v>PROJE ADI 
(PROJECT NAME)</v>
          </cell>
        </row>
      </sheetData>
      <sheetData sheetId="109">
        <row r="4">
          <cell r="A4" t="str">
            <v>PROJE ADI 
(PROJECT NAME)</v>
          </cell>
        </row>
      </sheetData>
      <sheetData sheetId="110">
        <row r="4">
          <cell r="A4" t="str">
            <v>PROJE ADI (PROJECT NAME)</v>
          </cell>
        </row>
      </sheetData>
      <sheetData sheetId="111">
        <row r="4">
          <cell r="A4" t="str">
            <v>PROJE ADI 
(PROJECT NAME)</v>
          </cell>
        </row>
      </sheetData>
      <sheetData sheetId="112">
        <row r="4">
          <cell r="A4" t="str">
            <v>PROJE ADI 
(PROJECT NAME)</v>
          </cell>
        </row>
      </sheetData>
      <sheetData sheetId="113">
        <row r="4">
          <cell r="A4" t="str">
            <v>PROJE ADI 
(PROJECT NAME)</v>
          </cell>
        </row>
      </sheetData>
      <sheetData sheetId="114">
        <row r="4">
          <cell r="A4" t="str">
            <v>PROJE ADI 
(PROJECT NAME)</v>
          </cell>
        </row>
      </sheetData>
      <sheetData sheetId="115">
        <row r="4">
          <cell r="A4" t="str">
            <v>PROJE ADI 
(PROJECT NAME)</v>
          </cell>
        </row>
      </sheetData>
      <sheetData sheetId="116">
        <row r="4">
          <cell r="A4" t="str">
            <v>PROJE ADI (PROJECT NAME)</v>
          </cell>
        </row>
      </sheetData>
      <sheetData sheetId="117" refreshError="1"/>
      <sheetData sheetId="118">
        <row r="4">
          <cell r="A4" t="str">
            <v>PROJE ADI 
(PROJECT NAME)</v>
          </cell>
        </row>
      </sheetData>
      <sheetData sheetId="119" refreshError="1"/>
      <sheetData sheetId="120" refreshError="1"/>
      <sheetData sheetId="121" refreshError="1"/>
      <sheetData sheetId="122" refreshError="1"/>
      <sheetData sheetId="123">
        <row r="4">
          <cell r="A4" t="str">
            <v>PROJE ADI 
(PROJECT NAME)</v>
          </cell>
        </row>
      </sheetData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>
        <row r="4">
          <cell r="A4" t="str">
            <v>PROJE ADI 
(PROJECT NAME)</v>
          </cell>
        </row>
      </sheetData>
      <sheetData sheetId="163">
        <row r="4">
          <cell r="A4" t="str">
            <v>PROJE ADI 
(PROJECT NAME)</v>
          </cell>
        </row>
      </sheetData>
      <sheetData sheetId="164">
        <row r="4">
          <cell r="A4" t="str">
            <v>PROJE ADI 
(PROJECT NAME)</v>
          </cell>
        </row>
      </sheetData>
      <sheetData sheetId="165">
        <row r="4">
          <cell r="A4" t="str">
            <v>PROJE ADI 
(PROJECT NAME)</v>
          </cell>
        </row>
      </sheetData>
      <sheetData sheetId="166">
        <row r="4">
          <cell r="A4" t="str">
            <v>PROJE ADI 
(PROJECT NAME)</v>
          </cell>
        </row>
      </sheetData>
      <sheetData sheetId="167">
        <row r="4">
          <cell r="A4" t="str">
            <v>PROJE ADI 
(PROJECT NAME)</v>
          </cell>
        </row>
      </sheetData>
      <sheetData sheetId="168">
        <row r="4">
          <cell r="A4" t="str">
            <v>PROJE ADI (PROJECT NAME)</v>
          </cell>
        </row>
      </sheetData>
      <sheetData sheetId="169">
        <row r="4">
          <cell r="A4" t="str">
            <v>PROJE ADI (PROJECT NAME)</v>
          </cell>
        </row>
      </sheetData>
      <sheetData sheetId="170">
        <row r="4">
          <cell r="A4" t="str">
            <v>PROJE ADI 
(PROJECT NAME)</v>
          </cell>
        </row>
      </sheetData>
      <sheetData sheetId="171">
        <row r="4">
          <cell r="A4" t="str">
            <v>PROJE ADI 
(PROJECT NAME)</v>
          </cell>
        </row>
      </sheetData>
      <sheetData sheetId="172">
        <row r="4">
          <cell r="A4" t="str">
            <v>PROJE ADI 
(PROJECT NAME)</v>
          </cell>
        </row>
      </sheetData>
      <sheetData sheetId="173">
        <row r="4">
          <cell r="A4" t="str">
            <v>PROJE ADI 
(PROJECT NAME)</v>
          </cell>
        </row>
      </sheetData>
      <sheetData sheetId="174">
        <row r="4">
          <cell r="A4" t="str">
            <v>PROJE ADI 
(PROJECT NAME)</v>
          </cell>
        </row>
      </sheetData>
      <sheetData sheetId="175">
        <row r="4">
          <cell r="A4" t="str">
            <v>PROJE ADI 
(PROJECT NAME)</v>
          </cell>
        </row>
      </sheetData>
      <sheetData sheetId="176">
        <row r="4">
          <cell r="A4" t="str">
            <v>PROJE ADI 
(PROJECT NAME)</v>
          </cell>
        </row>
      </sheetData>
      <sheetData sheetId="177">
        <row r="4">
          <cell r="A4" t="str">
            <v>PROJE ADI 
(PROJECT NAME)</v>
          </cell>
        </row>
      </sheetData>
      <sheetData sheetId="178">
        <row r="4">
          <cell r="A4" t="str">
            <v>PROJE ADI 
(PROJECT NAME)</v>
          </cell>
        </row>
      </sheetData>
      <sheetData sheetId="179">
        <row r="4">
          <cell r="A4" t="str">
            <v>PROJE ADI 
(PROJECT NAME)</v>
          </cell>
        </row>
      </sheetData>
      <sheetData sheetId="180">
        <row r="4">
          <cell r="A4" t="str">
            <v>PROJE ADI (PROJECT NAME)</v>
          </cell>
        </row>
      </sheetData>
      <sheetData sheetId="181" refreshError="1"/>
      <sheetData sheetId="182" refreshError="1"/>
      <sheetData sheetId="183" refreshError="1"/>
      <sheetData sheetId="184" refreshError="1"/>
      <sheetData sheetId="185">
        <row r="4">
          <cell r="A4" t="str">
            <v>PROJE ADI 
(PROJECT NAME)</v>
          </cell>
        </row>
      </sheetData>
      <sheetData sheetId="186">
        <row r="4">
          <cell r="A4" t="str">
            <v>PROJE ADI 
(PROJECT NAME)</v>
          </cell>
        </row>
      </sheetData>
      <sheetData sheetId="187">
        <row r="4">
          <cell r="A4" t="str">
            <v>PROJE ADI 
(PROJECT NAME)</v>
          </cell>
        </row>
      </sheetData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>
        <row r="4">
          <cell r="A4" t="str">
            <v>PROJE ADI (PROJECT NAME)</v>
          </cell>
        </row>
      </sheetData>
      <sheetData sheetId="201" refreshError="1"/>
      <sheetData sheetId="202">
        <row r="4">
          <cell r="A4" t="str">
            <v>PROJE ADI 
(PROJECT NAME)</v>
          </cell>
        </row>
      </sheetData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>
        <row r="4">
          <cell r="A4">
            <v>0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>
        <row r="4">
          <cell r="A4" t="str">
            <v>PROJE ADI (PROJECT NAME)</v>
          </cell>
        </row>
      </sheetData>
      <sheetData sheetId="285">
        <row r="4">
          <cell r="A4" t="str">
            <v>PROJE ADI (PROJECT NAME)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>
        <row r="4">
          <cell r="A4" t="str">
            <v>PROJE ADI (PROJECT NAME)</v>
          </cell>
        </row>
      </sheetData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>
        <row r="4">
          <cell r="A4">
            <v>0</v>
          </cell>
        </row>
      </sheetData>
      <sheetData sheetId="309">
        <row r="4">
          <cell r="A4" t="str">
            <v>PROJE ADI (PROJECT NAME)</v>
          </cell>
        </row>
      </sheetData>
      <sheetData sheetId="310">
        <row r="4">
          <cell r="A4" t="str">
            <v>PROJE ADI (PROJECT NAME)</v>
          </cell>
        </row>
      </sheetData>
      <sheetData sheetId="311">
        <row r="4">
          <cell r="A4" t="str">
            <v>PROJE ADI (PROJECT NAME)</v>
          </cell>
        </row>
      </sheetData>
      <sheetData sheetId="312">
        <row r="4">
          <cell r="A4" t="str">
            <v>PROJE ADI (PROJECT NAME)</v>
          </cell>
        </row>
      </sheetData>
      <sheetData sheetId="313">
        <row r="4">
          <cell r="A4" t="str">
            <v>PROJE ADI (PROJECT NAME)</v>
          </cell>
        </row>
      </sheetData>
      <sheetData sheetId="314">
        <row r="4">
          <cell r="A4" t="str">
            <v>PROJE ADI (PROJECT NAME)</v>
          </cell>
        </row>
      </sheetData>
      <sheetData sheetId="315">
        <row r="4">
          <cell r="A4" t="str">
            <v>PROJE ADI (PROJECT NAME)</v>
          </cell>
        </row>
      </sheetData>
      <sheetData sheetId="316">
        <row r="4">
          <cell r="A4" t="str">
            <v>PROJE ADI (PROJECT NAME)</v>
          </cell>
        </row>
      </sheetData>
      <sheetData sheetId="317">
        <row r="4">
          <cell r="A4" t="str">
            <v>PROJE ADI (PROJECT NAME)</v>
          </cell>
        </row>
      </sheetData>
      <sheetData sheetId="318">
        <row r="4">
          <cell r="A4" t="str">
            <v>PROJE ADI (PROJECT NAME)</v>
          </cell>
        </row>
      </sheetData>
      <sheetData sheetId="319">
        <row r="4">
          <cell r="A4" t="str">
            <v>PROJE ADI (PROJECT NAME)</v>
          </cell>
        </row>
      </sheetData>
      <sheetData sheetId="320">
        <row r="4">
          <cell r="A4" t="str">
            <v>PROJE ADI (PROJECT NAME)</v>
          </cell>
        </row>
      </sheetData>
      <sheetData sheetId="321">
        <row r="4">
          <cell r="A4" t="str">
            <v>PROJE ADI (PROJECT NAME)</v>
          </cell>
        </row>
      </sheetData>
      <sheetData sheetId="322">
        <row r="4">
          <cell r="A4" t="str">
            <v>PROJE ADI (PROJECT NAME)</v>
          </cell>
        </row>
      </sheetData>
      <sheetData sheetId="323">
        <row r="4">
          <cell r="A4" t="str">
            <v>PROJE ADI (PROJECT NAME)</v>
          </cell>
        </row>
      </sheetData>
      <sheetData sheetId="324">
        <row r="4">
          <cell r="A4" t="str">
            <v>PROJE ADI (PROJECT NAME)</v>
          </cell>
        </row>
      </sheetData>
      <sheetData sheetId="325">
        <row r="4">
          <cell r="A4" t="str">
            <v>PROJE ADI (PROJECT NAME)</v>
          </cell>
        </row>
      </sheetData>
      <sheetData sheetId="326">
        <row r="4">
          <cell r="A4" t="str">
            <v>PROJE ADI (PROJECT NAME)</v>
          </cell>
        </row>
      </sheetData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>
        <row r="4">
          <cell r="A4" t="str">
            <v>PROJE ADI (PROJECT NAME)</v>
          </cell>
        </row>
      </sheetData>
      <sheetData sheetId="353">
        <row r="4">
          <cell r="A4" t="str">
            <v>PROJE ADI (PROJECT NAME)</v>
          </cell>
        </row>
      </sheetData>
      <sheetData sheetId="354">
        <row r="4">
          <cell r="A4" t="str">
            <v>PROJE ADI (PROJECT NAME)</v>
          </cell>
        </row>
      </sheetData>
      <sheetData sheetId="355">
        <row r="4">
          <cell r="A4" t="str">
            <v>PROJE ADI (PROJECT NAME)</v>
          </cell>
        </row>
      </sheetData>
      <sheetData sheetId="356">
        <row r="4">
          <cell r="A4" t="str">
            <v>PROJE ADI (PROJECT NAME)</v>
          </cell>
        </row>
      </sheetData>
      <sheetData sheetId="357">
        <row r="4">
          <cell r="A4" t="str">
            <v>PROJE ADI (PROJECT NAME)</v>
          </cell>
        </row>
      </sheetData>
      <sheetData sheetId="358">
        <row r="4">
          <cell r="A4" t="str">
            <v>PROJE ADI (PROJECT NAME)</v>
          </cell>
        </row>
      </sheetData>
      <sheetData sheetId="359">
        <row r="4">
          <cell r="A4" t="str">
            <v>PROJE ADI (PROJECT NAME)</v>
          </cell>
        </row>
      </sheetData>
      <sheetData sheetId="360">
        <row r="4">
          <cell r="A4" t="str">
            <v>PROJE ADI (PROJECT NAME)</v>
          </cell>
        </row>
      </sheetData>
      <sheetData sheetId="361">
        <row r="4">
          <cell r="A4" t="str">
            <v>PROJE ADI (PROJECT NAME)</v>
          </cell>
        </row>
      </sheetData>
      <sheetData sheetId="362">
        <row r="4">
          <cell r="A4" t="str">
            <v>PROJE ADI (PROJECT NAME)</v>
          </cell>
        </row>
      </sheetData>
      <sheetData sheetId="363">
        <row r="4">
          <cell r="A4" t="str">
            <v>PROJE ADI (PROJECT NAME)</v>
          </cell>
        </row>
      </sheetData>
      <sheetData sheetId="364">
        <row r="4">
          <cell r="A4" t="str">
            <v>PROJE ADI 
(PROJECT NAME)</v>
          </cell>
        </row>
      </sheetData>
      <sheetData sheetId="365">
        <row r="4">
          <cell r="A4" t="str">
            <v>PROJE ADI (PROJECT NAME)</v>
          </cell>
        </row>
      </sheetData>
      <sheetData sheetId="366">
        <row r="4">
          <cell r="A4" t="str">
            <v>PROJE ADI (PROJECT NAME)</v>
          </cell>
        </row>
      </sheetData>
      <sheetData sheetId="367">
        <row r="4">
          <cell r="A4" t="str">
            <v>PROJE ADI (PROJECT NAME)</v>
          </cell>
        </row>
      </sheetData>
      <sheetData sheetId="368">
        <row r="4">
          <cell r="A4" t="str">
            <v>PROJE ADI 
(PROJECT NAME)</v>
          </cell>
        </row>
      </sheetData>
      <sheetData sheetId="369">
        <row r="4">
          <cell r="A4" t="str">
            <v>PROJE ADI (PROJECT NAME)</v>
          </cell>
        </row>
      </sheetData>
      <sheetData sheetId="370">
        <row r="4">
          <cell r="A4" t="str">
            <v>PROJE ADI (PROJECT NAME)</v>
          </cell>
        </row>
      </sheetData>
      <sheetData sheetId="371">
        <row r="4">
          <cell r="A4" t="str">
            <v>PROJE ADI (PROJECT NAME)</v>
          </cell>
        </row>
      </sheetData>
      <sheetData sheetId="372">
        <row r="4">
          <cell r="A4" t="str">
            <v>PROJE ADI (PROJECT NAME)</v>
          </cell>
        </row>
      </sheetData>
      <sheetData sheetId="373">
        <row r="4">
          <cell r="A4" t="str">
            <v>PROJE ADI (PROJECT NAME)</v>
          </cell>
        </row>
      </sheetData>
      <sheetData sheetId="374">
        <row r="4">
          <cell r="A4" t="str">
            <v>PROJE ADI (PROJECT NAME)</v>
          </cell>
        </row>
      </sheetData>
      <sheetData sheetId="375">
        <row r="4">
          <cell r="A4" t="str">
            <v>PROJE ADI (PROJECT NAME)</v>
          </cell>
        </row>
      </sheetData>
      <sheetData sheetId="376">
        <row r="4">
          <cell r="A4" t="str">
            <v>PROJE ADI (PROJECT NAME)</v>
          </cell>
        </row>
      </sheetData>
      <sheetData sheetId="377">
        <row r="4">
          <cell r="A4" t="str">
            <v>PROJE ADI (PROJECT NAME)</v>
          </cell>
        </row>
      </sheetData>
      <sheetData sheetId="378">
        <row r="4">
          <cell r="A4" t="str">
            <v>PROJE ADI (PROJECT NAME)</v>
          </cell>
        </row>
      </sheetData>
      <sheetData sheetId="379">
        <row r="4">
          <cell r="A4" t="str">
            <v>PROJE ADI (PROJECT NAME)</v>
          </cell>
        </row>
      </sheetData>
      <sheetData sheetId="380">
        <row r="4">
          <cell r="A4" t="str">
            <v>PROJE ADI (PROJECT NAME)</v>
          </cell>
        </row>
      </sheetData>
      <sheetData sheetId="381">
        <row r="4">
          <cell r="A4" t="str">
            <v>PROJE ADI (PROJECT NAME)</v>
          </cell>
        </row>
      </sheetData>
      <sheetData sheetId="382">
        <row r="4">
          <cell r="A4" t="str">
            <v>PROJE ADI (PROJECT NAME)</v>
          </cell>
        </row>
      </sheetData>
      <sheetData sheetId="383">
        <row r="4">
          <cell r="A4" t="str">
            <v>PROJE ADI 
(PROJECT NAME)</v>
          </cell>
        </row>
      </sheetData>
      <sheetData sheetId="384">
        <row r="4">
          <cell r="A4" t="str">
            <v>PROJE ADI (PROJECT NAME)</v>
          </cell>
        </row>
      </sheetData>
      <sheetData sheetId="385">
        <row r="4">
          <cell r="A4" t="str">
            <v>PROJE ADI (PROJECT NAME)</v>
          </cell>
        </row>
      </sheetData>
      <sheetData sheetId="386">
        <row r="4">
          <cell r="A4" t="str">
            <v>PROJE ADI (PROJECT NAME)</v>
          </cell>
        </row>
      </sheetData>
      <sheetData sheetId="387">
        <row r="4">
          <cell r="A4" t="str">
            <v>PROJE ADI 
(PROJECT NAME)</v>
          </cell>
        </row>
      </sheetData>
      <sheetData sheetId="388">
        <row r="4">
          <cell r="A4" t="str">
            <v>PROJE ADI (PROJECT NAME)</v>
          </cell>
        </row>
      </sheetData>
      <sheetData sheetId="389">
        <row r="4">
          <cell r="A4" t="str">
            <v>PROJE ADI (PROJECT NAME)</v>
          </cell>
        </row>
      </sheetData>
      <sheetData sheetId="390">
        <row r="4">
          <cell r="A4" t="str">
            <v>PROJE ADI (PROJECT NAME)</v>
          </cell>
        </row>
      </sheetData>
      <sheetData sheetId="391">
        <row r="4">
          <cell r="A4" t="str">
            <v>PROJE ADI (PROJECT NAME)</v>
          </cell>
        </row>
      </sheetData>
      <sheetData sheetId="392">
        <row r="4">
          <cell r="A4" t="str">
            <v>PROJE ADI (PROJECT NAME)</v>
          </cell>
        </row>
      </sheetData>
      <sheetData sheetId="393">
        <row r="4">
          <cell r="A4" t="str">
            <v>PROJE ADI (PROJECT NAME)</v>
          </cell>
        </row>
      </sheetData>
      <sheetData sheetId="394">
        <row r="4">
          <cell r="A4" t="str">
            <v>PROJE ADI (PROJECT NAME)</v>
          </cell>
        </row>
      </sheetData>
      <sheetData sheetId="395">
        <row r="4">
          <cell r="A4" t="str">
            <v>PROJE ADI (PROJECT NAME)</v>
          </cell>
        </row>
      </sheetData>
      <sheetData sheetId="396">
        <row r="4">
          <cell r="A4" t="str">
            <v>PROJE ADI (PROJECT NAME)</v>
          </cell>
        </row>
      </sheetData>
      <sheetData sheetId="397">
        <row r="4">
          <cell r="A4" t="str">
            <v>PROJE ADI (PROJECT NAME)</v>
          </cell>
        </row>
      </sheetData>
      <sheetData sheetId="398">
        <row r="4">
          <cell r="A4" t="str">
            <v>PROJE ADI (PROJECT NAME)</v>
          </cell>
        </row>
      </sheetData>
      <sheetData sheetId="399">
        <row r="4">
          <cell r="A4" t="str">
            <v>PROJE ADI 
(PROJECT NAME)</v>
          </cell>
        </row>
      </sheetData>
      <sheetData sheetId="400">
        <row r="4">
          <cell r="A4" t="str">
            <v>PROJE ADI (PROJECT NAME)</v>
          </cell>
        </row>
      </sheetData>
      <sheetData sheetId="401">
        <row r="4">
          <cell r="A4" t="str">
            <v>PROJE ADI (PROJECT NAME)</v>
          </cell>
        </row>
      </sheetData>
      <sheetData sheetId="402">
        <row r="4">
          <cell r="A4" t="str">
            <v>PROJE ADI (PROJECT NAME)</v>
          </cell>
        </row>
      </sheetData>
      <sheetData sheetId="403">
        <row r="4">
          <cell r="A4" t="str">
            <v>PROJE ADI 
(PROJECT NAME)</v>
          </cell>
        </row>
      </sheetData>
      <sheetData sheetId="404">
        <row r="4">
          <cell r="A4" t="str">
            <v>PROJE ADI 
(PROJECT NAME)</v>
          </cell>
        </row>
      </sheetData>
      <sheetData sheetId="405">
        <row r="4">
          <cell r="A4" t="str">
            <v>PROJE ADI (PROJECT NAME)</v>
          </cell>
        </row>
      </sheetData>
      <sheetData sheetId="406">
        <row r="4">
          <cell r="A4" t="str">
            <v>PROJE ADI (PROJECT NAME)</v>
          </cell>
        </row>
      </sheetData>
      <sheetData sheetId="407">
        <row r="4">
          <cell r="A4" t="str">
            <v>PROJE ADI (PROJECT NAME)</v>
          </cell>
        </row>
      </sheetData>
      <sheetData sheetId="408">
        <row r="4">
          <cell r="A4" t="str">
            <v>PROJE ADI 
(PROJECT NAME)</v>
          </cell>
        </row>
      </sheetData>
      <sheetData sheetId="409">
        <row r="4">
          <cell r="A4" t="str">
            <v>PROJE ADI 
(PROJECT NAME)</v>
          </cell>
        </row>
      </sheetData>
      <sheetData sheetId="410">
        <row r="4">
          <cell r="A4" t="str">
            <v>PROJE ADI 
(PROJECT NAME)</v>
          </cell>
        </row>
      </sheetData>
      <sheetData sheetId="411">
        <row r="4">
          <cell r="A4" t="str">
            <v>PROJE ADI (PROJECT NAME)</v>
          </cell>
        </row>
      </sheetData>
      <sheetData sheetId="412">
        <row r="4">
          <cell r="A4" t="str">
            <v>PROJE ADI 
(PROJECT NAME)</v>
          </cell>
        </row>
      </sheetData>
      <sheetData sheetId="413">
        <row r="4">
          <cell r="A4" t="str">
            <v>PROJE ADI 
(PROJECT NAME)</v>
          </cell>
        </row>
      </sheetData>
      <sheetData sheetId="414">
        <row r="4">
          <cell r="A4" t="str">
            <v>PROJE ADI (PROJECT NAME)</v>
          </cell>
        </row>
      </sheetData>
      <sheetData sheetId="415">
        <row r="4">
          <cell r="A4" t="str">
            <v>PROJE ADI 
(PROJECT NAME)</v>
          </cell>
        </row>
      </sheetData>
      <sheetData sheetId="416">
        <row r="4">
          <cell r="A4" t="str">
            <v>PROJE ADI 
(PROJECT NAME)</v>
          </cell>
        </row>
      </sheetData>
      <sheetData sheetId="417">
        <row r="4">
          <cell r="A4" t="str">
            <v>PROJE ADI (PROJECT NAME)</v>
          </cell>
        </row>
      </sheetData>
      <sheetData sheetId="418">
        <row r="4">
          <cell r="A4" t="str">
            <v>PROJE ADI (PROJECT NAME)</v>
          </cell>
        </row>
      </sheetData>
      <sheetData sheetId="419">
        <row r="4">
          <cell r="A4" t="str">
            <v>PROJE ADI 
(PROJECT NAME)</v>
          </cell>
        </row>
      </sheetData>
      <sheetData sheetId="420">
        <row r="4">
          <cell r="A4" t="str">
            <v>PROJE ADI (PROJECT NAME)</v>
          </cell>
        </row>
      </sheetData>
      <sheetData sheetId="421">
        <row r="4">
          <cell r="A4" t="str">
            <v>PROJE ADI (PROJECT NAME)</v>
          </cell>
        </row>
      </sheetData>
      <sheetData sheetId="422">
        <row r="4">
          <cell r="A4" t="str">
            <v>PROJE ADI (PROJECT NAME)</v>
          </cell>
        </row>
      </sheetData>
      <sheetData sheetId="423">
        <row r="4">
          <cell r="A4" t="str">
            <v>PROJE ADI (PROJECT NAME)</v>
          </cell>
        </row>
      </sheetData>
      <sheetData sheetId="424">
        <row r="4">
          <cell r="A4">
            <v>0</v>
          </cell>
        </row>
      </sheetData>
      <sheetData sheetId="425">
        <row r="4">
          <cell r="A4">
            <v>0</v>
          </cell>
        </row>
      </sheetData>
      <sheetData sheetId="426">
        <row r="4">
          <cell r="A4">
            <v>0</v>
          </cell>
        </row>
      </sheetData>
      <sheetData sheetId="427">
        <row r="4">
          <cell r="A4" t="str">
            <v>PROJE ADI (PROJECT NAME)</v>
          </cell>
        </row>
      </sheetData>
      <sheetData sheetId="428">
        <row r="4">
          <cell r="A4" t="str">
            <v>PROJE ADI (PROJECT NAME)</v>
          </cell>
        </row>
      </sheetData>
      <sheetData sheetId="429">
        <row r="4">
          <cell r="A4" t="str">
            <v>PROJE ADI (PROJECT NAME)</v>
          </cell>
        </row>
      </sheetData>
      <sheetData sheetId="430">
        <row r="4">
          <cell r="A4" t="str">
            <v>PROJE ADI (PROJECT NAME)</v>
          </cell>
        </row>
      </sheetData>
      <sheetData sheetId="431">
        <row r="4">
          <cell r="A4" t="str">
            <v>PROJE ADI (PROJECT NAME)</v>
          </cell>
        </row>
      </sheetData>
      <sheetData sheetId="432">
        <row r="4">
          <cell r="A4" t="str">
            <v>PROJE ADI (PROJECT NAME)</v>
          </cell>
        </row>
      </sheetData>
      <sheetData sheetId="433">
        <row r="4">
          <cell r="A4" t="str">
            <v>PROJE ADI (PROJECT NAME)</v>
          </cell>
        </row>
      </sheetData>
      <sheetData sheetId="434">
        <row r="4">
          <cell r="A4" t="str">
            <v>PROJE ADI (PROJECT NAME)</v>
          </cell>
        </row>
      </sheetData>
      <sheetData sheetId="435">
        <row r="4">
          <cell r="A4" t="str">
            <v>PROJE ADI (PROJECT NAME)</v>
          </cell>
        </row>
      </sheetData>
      <sheetData sheetId="436">
        <row r="4">
          <cell r="A4" t="str">
            <v>PROJE ADI (PROJECT NAME)</v>
          </cell>
        </row>
      </sheetData>
      <sheetData sheetId="437">
        <row r="4">
          <cell r="A4" t="str">
            <v>PROJE ADI (PROJECT NAME)</v>
          </cell>
        </row>
      </sheetData>
      <sheetData sheetId="438">
        <row r="4">
          <cell r="A4" t="str">
            <v>PROJE ADI (PROJECT NAME)</v>
          </cell>
        </row>
      </sheetData>
      <sheetData sheetId="439" refreshError="1"/>
      <sheetData sheetId="440" refreshError="1"/>
      <sheetData sheetId="441" refreshError="1"/>
      <sheetData sheetId="442" refreshError="1"/>
      <sheetData sheetId="443">
        <row r="4">
          <cell r="A4" t="str">
            <v>PROJE ADI (PROJECT NAME)</v>
          </cell>
        </row>
      </sheetData>
      <sheetData sheetId="444">
        <row r="4">
          <cell r="A4" t="str">
            <v>PROJE ADI (PROJECT NAME)</v>
          </cell>
        </row>
      </sheetData>
      <sheetData sheetId="445">
        <row r="4">
          <cell r="A4" t="str">
            <v>PROJE ADI (PROJECT NAME)</v>
          </cell>
        </row>
      </sheetData>
      <sheetData sheetId="446">
        <row r="4">
          <cell r="A4" t="str">
            <v>PROJE ADI (PROJECT NAME)</v>
          </cell>
        </row>
      </sheetData>
      <sheetData sheetId="447">
        <row r="4">
          <cell r="A4" t="str">
            <v>PROJE ADI (PROJECT NAME)</v>
          </cell>
        </row>
      </sheetData>
      <sheetData sheetId="448">
        <row r="4">
          <cell r="A4" t="str">
            <v>PROJE ADI (PROJECT NAME)</v>
          </cell>
        </row>
      </sheetData>
      <sheetData sheetId="449">
        <row r="4">
          <cell r="A4" t="str">
            <v>PROJE ADI (PROJECT NAME)</v>
          </cell>
        </row>
      </sheetData>
      <sheetData sheetId="450">
        <row r="4">
          <cell r="A4" t="str">
            <v>PROJE ADI (PROJECT NAME)</v>
          </cell>
        </row>
      </sheetData>
      <sheetData sheetId="451">
        <row r="4">
          <cell r="A4" t="str">
            <v>PROJE ADI (PROJECT NAME)</v>
          </cell>
        </row>
      </sheetData>
      <sheetData sheetId="452">
        <row r="4">
          <cell r="A4" t="str">
            <v>PROJE ADI (PROJECT NAME)</v>
          </cell>
        </row>
      </sheetData>
      <sheetData sheetId="453">
        <row r="4">
          <cell r="A4" t="str">
            <v>PROJE ADI (PROJECT NAME)</v>
          </cell>
        </row>
      </sheetData>
      <sheetData sheetId="454">
        <row r="4">
          <cell r="A4" t="str">
            <v>PROJE ADI (PROJECT NAME)</v>
          </cell>
        </row>
      </sheetData>
      <sheetData sheetId="455">
        <row r="4">
          <cell r="A4" t="str">
            <v>PROJE ADI (PROJECT NAME)</v>
          </cell>
        </row>
      </sheetData>
      <sheetData sheetId="456">
        <row r="4">
          <cell r="A4" t="str">
            <v>PROJE ADI (PROJECT NAME)</v>
          </cell>
        </row>
      </sheetData>
      <sheetData sheetId="457">
        <row r="4">
          <cell r="A4" t="str">
            <v>PROJE ADI (PROJECT NAME)</v>
          </cell>
        </row>
      </sheetData>
      <sheetData sheetId="458">
        <row r="4">
          <cell r="A4" t="str">
            <v>PROJE ADI (PROJECT NAME)</v>
          </cell>
        </row>
      </sheetData>
      <sheetData sheetId="459">
        <row r="4">
          <cell r="A4" t="str">
            <v>PROJE ADI (PROJECT NAME)</v>
          </cell>
        </row>
      </sheetData>
      <sheetData sheetId="460">
        <row r="4">
          <cell r="A4" t="str">
            <v>PROJE ADI 
(PROJECT NAME)</v>
          </cell>
        </row>
      </sheetData>
      <sheetData sheetId="461">
        <row r="4">
          <cell r="A4" t="str">
            <v>PROJE ADI 
(PROJECT NAME)</v>
          </cell>
        </row>
      </sheetData>
      <sheetData sheetId="462">
        <row r="4">
          <cell r="A4" t="str">
            <v>PROJE ADI 
(PROJECT NAME)</v>
          </cell>
        </row>
      </sheetData>
      <sheetData sheetId="463">
        <row r="4">
          <cell r="A4" t="str">
            <v>PROJE ADI 
(PROJECT NAME)</v>
          </cell>
        </row>
      </sheetData>
      <sheetData sheetId="464">
        <row r="4">
          <cell r="A4" t="str">
            <v>PROJE ADI 
(PROJECT NAME)</v>
          </cell>
        </row>
      </sheetData>
      <sheetData sheetId="465">
        <row r="4">
          <cell r="A4" t="str">
            <v>PROJE ADI 
(PROJECT NAME)</v>
          </cell>
        </row>
      </sheetData>
      <sheetData sheetId="466">
        <row r="4">
          <cell r="A4" t="str">
            <v>PROJE ADI 
(PROJECT NAME)</v>
          </cell>
        </row>
      </sheetData>
      <sheetData sheetId="467">
        <row r="4">
          <cell r="A4" t="str">
            <v>PROJE ADI 
(PROJECT NAME)</v>
          </cell>
        </row>
      </sheetData>
      <sheetData sheetId="468">
        <row r="4">
          <cell r="A4" t="str">
            <v>PROJE ADI 
(PROJECT NAME)</v>
          </cell>
        </row>
      </sheetData>
      <sheetData sheetId="469">
        <row r="4">
          <cell r="A4" t="str">
            <v>PROJE ADI 
(PROJECT NAME)</v>
          </cell>
        </row>
      </sheetData>
      <sheetData sheetId="470">
        <row r="4">
          <cell r="A4" t="str">
            <v>PROJE ADI 
(PROJECT NAME)</v>
          </cell>
        </row>
      </sheetData>
      <sheetData sheetId="471">
        <row r="4">
          <cell r="A4" t="str">
            <v>PROJE ADI 
(PROJECT NAME)</v>
          </cell>
        </row>
      </sheetData>
      <sheetData sheetId="472">
        <row r="4">
          <cell r="A4" t="str">
            <v>PROJE ADI 
(PROJECT NAME)</v>
          </cell>
        </row>
      </sheetData>
      <sheetData sheetId="473">
        <row r="4">
          <cell r="A4" t="str">
            <v>PROJE ADI 
(PROJECT NAME)</v>
          </cell>
        </row>
      </sheetData>
      <sheetData sheetId="474">
        <row r="4">
          <cell r="A4" t="str">
            <v>PROJE ADI 
(PROJECT NAME)</v>
          </cell>
        </row>
      </sheetData>
      <sheetData sheetId="475">
        <row r="4">
          <cell r="A4" t="str">
            <v>PROJE ADI 
(PROJECT NAME)</v>
          </cell>
        </row>
      </sheetData>
      <sheetData sheetId="476">
        <row r="4">
          <cell r="A4" t="str">
            <v>PROJE ADI (PROJECT NAME)</v>
          </cell>
        </row>
      </sheetData>
      <sheetData sheetId="477">
        <row r="4">
          <cell r="A4" t="str">
            <v>PROJE ADI (PROJECT NAME)</v>
          </cell>
        </row>
      </sheetData>
      <sheetData sheetId="478">
        <row r="4">
          <cell r="A4" t="str">
            <v>PROJE ADI (PROJECT NAME)</v>
          </cell>
        </row>
      </sheetData>
      <sheetData sheetId="479">
        <row r="4">
          <cell r="A4" t="str">
            <v>PROJE ADI 
(PROJECT NAME)</v>
          </cell>
        </row>
      </sheetData>
      <sheetData sheetId="480">
        <row r="4">
          <cell r="A4" t="str">
            <v>PROJE ADI 
(PROJECT NAME)</v>
          </cell>
        </row>
      </sheetData>
      <sheetData sheetId="481">
        <row r="4">
          <cell r="A4" t="str">
            <v>PROJE ADI (PROJECT NAME)</v>
          </cell>
        </row>
      </sheetData>
      <sheetData sheetId="482">
        <row r="4">
          <cell r="A4" t="str">
            <v>PROJE ADI (PROJECT NAME)</v>
          </cell>
        </row>
      </sheetData>
      <sheetData sheetId="483">
        <row r="4">
          <cell r="A4" t="str">
            <v>PROJE ADI (PROJECT NAME)</v>
          </cell>
        </row>
      </sheetData>
      <sheetData sheetId="484">
        <row r="4">
          <cell r="A4" t="str">
            <v>PROJE ADI (PROJECT NAME)</v>
          </cell>
        </row>
      </sheetData>
      <sheetData sheetId="485">
        <row r="4">
          <cell r="A4" t="str">
            <v>PROJE ADI (PROJECT NAME)</v>
          </cell>
        </row>
      </sheetData>
      <sheetData sheetId="486">
        <row r="4">
          <cell r="A4" t="str">
            <v>PROJE ADI (PROJECT NAME)</v>
          </cell>
        </row>
      </sheetData>
      <sheetData sheetId="487">
        <row r="4">
          <cell r="A4" t="str">
            <v>PROJE ADI (PROJECT NAME)</v>
          </cell>
        </row>
      </sheetData>
      <sheetData sheetId="488">
        <row r="4">
          <cell r="A4" t="str">
            <v>PROJE ADI (PROJECT NAME)</v>
          </cell>
        </row>
      </sheetData>
      <sheetData sheetId="489">
        <row r="4">
          <cell r="A4" t="str">
            <v>PROJE ADI (PROJECT NAME)</v>
          </cell>
        </row>
      </sheetData>
      <sheetData sheetId="490">
        <row r="4">
          <cell r="A4" t="str">
            <v>PROJE ADI (PROJECT NAME)</v>
          </cell>
        </row>
      </sheetData>
      <sheetData sheetId="491">
        <row r="4">
          <cell r="A4" t="str">
            <v>PROJE ADI (PROJECT NAME)</v>
          </cell>
        </row>
      </sheetData>
      <sheetData sheetId="492">
        <row r="4">
          <cell r="A4" t="str">
            <v>PROJE ADI (PROJECT NAME)</v>
          </cell>
        </row>
      </sheetData>
      <sheetData sheetId="493">
        <row r="4">
          <cell r="A4" t="str">
            <v>PROJE ADI 
(PROJECT NAME)</v>
          </cell>
        </row>
      </sheetData>
      <sheetData sheetId="494">
        <row r="4">
          <cell r="A4" t="str">
            <v>PROJE ADI (PROJECT NAME)</v>
          </cell>
        </row>
      </sheetData>
      <sheetData sheetId="495">
        <row r="4">
          <cell r="A4" t="str">
            <v>PROJE ADI 
(PROJECT NAME)</v>
          </cell>
        </row>
      </sheetData>
      <sheetData sheetId="496">
        <row r="4">
          <cell r="A4" t="str">
            <v>PROJE ADI (PROJECT NAME)</v>
          </cell>
        </row>
      </sheetData>
      <sheetData sheetId="497">
        <row r="4">
          <cell r="A4" t="str">
            <v>PROJE ADI (PROJECT NAME)</v>
          </cell>
        </row>
      </sheetData>
      <sheetData sheetId="498">
        <row r="4">
          <cell r="A4" t="str">
            <v>PROJE ADI (PROJECT NAME)</v>
          </cell>
        </row>
      </sheetData>
      <sheetData sheetId="499">
        <row r="4">
          <cell r="A4" t="str">
            <v>PROJE ADI (PROJECT NAME)</v>
          </cell>
        </row>
      </sheetData>
      <sheetData sheetId="500">
        <row r="4">
          <cell r="A4" t="str">
            <v>PROJE ADI (PROJECT NAME)</v>
          </cell>
        </row>
      </sheetData>
      <sheetData sheetId="501">
        <row r="4">
          <cell r="A4" t="str">
            <v>PROJE ADI (PROJECT NAME)</v>
          </cell>
        </row>
      </sheetData>
      <sheetData sheetId="502">
        <row r="4">
          <cell r="A4" t="str">
            <v>PROJE ADI (PROJECT NAME)</v>
          </cell>
        </row>
      </sheetData>
      <sheetData sheetId="503">
        <row r="4">
          <cell r="A4" t="str">
            <v>PROJE ADI (PROJECT NAME)</v>
          </cell>
        </row>
      </sheetData>
      <sheetData sheetId="504">
        <row r="4">
          <cell r="A4" t="str">
            <v>PROJE ADI (PROJECT NAME)</v>
          </cell>
        </row>
      </sheetData>
      <sheetData sheetId="505">
        <row r="4">
          <cell r="A4" t="str">
            <v>PROJE ADI (PROJECT NAME)</v>
          </cell>
        </row>
      </sheetData>
      <sheetData sheetId="506">
        <row r="4">
          <cell r="A4" t="str">
            <v>PROJE ADI (PROJECT NAME)</v>
          </cell>
        </row>
      </sheetData>
      <sheetData sheetId="507">
        <row r="4">
          <cell r="A4" t="str">
            <v>PROJE ADI (PROJECT NAME)</v>
          </cell>
        </row>
      </sheetData>
      <sheetData sheetId="508">
        <row r="4">
          <cell r="A4" t="str">
            <v>PROJE ADI (PROJECT NAME)</v>
          </cell>
        </row>
      </sheetData>
      <sheetData sheetId="509">
        <row r="4">
          <cell r="A4" t="str">
            <v>PROJE ADI (PROJECT NAME)</v>
          </cell>
        </row>
      </sheetData>
      <sheetData sheetId="510">
        <row r="4">
          <cell r="A4" t="str">
            <v>PROJE ADI (PROJECT NAME)</v>
          </cell>
        </row>
      </sheetData>
      <sheetData sheetId="511">
        <row r="4">
          <cell r="A4" t="str">
            <v>PROJE ADI (PROJECT NAME)</v>
          </cell>
        </row>
      </sheetData>
      <sheetData sheetId="512">
        <row r="4">
          <cell r="A4" t="str">
            <v>PROJE ADI (PROJECT NAME)</v>
          </cell>
        </row>
      </sheetData>
      <sheetData sheetId="513">
        <row r="4">
          <cell r="A4" t="str">
            <v>PROJE ADI (PROJECT NAME)</v>
          </cell>
        </row>
      </sheetData>
      <sheetData sheetId="514">
        <row r="4">
          <cell r="A4" t="str">
            <v>PROJE ADI (PROJECT NAME)</v>
          </cell>
        </row>
      </sheetData>
      <sheetData sheetId="515">
        <row r="4">
          <cell r="A4" t="str">
            <v>PROJE ADI (PROJECT NAME)</v>
          </cell>
        </row>
      </sheetData>
      <sheetData sheetId="516">
        <row r="4">
          <cell r="A4" t="str">
            <v>PROJE ADI (PROJECT NAME)</v>
          </cell>
        </row>
      </sheetData>
      <sheetData sheetId="517">
        <row r="4">
          <cell r="A4" t="str">
            <v>PROJE ADI (PROJECT NAME)</v>
          </cell>
        </row>
      </sheetData>
      <sheetData sheetId="518">
        <row r="4">
          <cell r="A4" t="str">
            <v>PROJE ADI (PROJECT NAME)</v>
          </cell>
        </row>
      </sheetData>
      <sheetData sheetId="519">
        <row r="4">
          <cell r="A4" t="str">
            <v>PROJE ADI (PROJECT NAME)</v>
          </cell>
        </row>
      </sheetData>
      <sheetData sheetId="520">
        <row r="4">
          <cell r="A4" t="str">
            <v>PROJE ADI (PROJECT NAME)</v>
          </cell>
        </row>
      </sheetData>
      <sheetData sheetId="521">
        <row r="4">
          <cell r="A4" t="str">
            <v>PROJE ADI (PROJECT NAME)</v>
          </cell>
        </row>
      </sheetData>
      <sheetData sheetId="522">
        <row r="4">
          <cell r="A4" t="str">
            <v>PROJE ADI (PROJECT NAME)</v>
          </cell>
        </row>
      </sheetData>
      <sheetData sheetId="523">
        <row r="4">
          <cell r="A4" t="str">
            <v>PROJE ADI (PROJECT NAME)</v>
          </cell>
        </row>
      </sheetData>
      <sheetData sheetId="524">
        <row r="4">
          <cell r="A4" t="str">
            <v>PROJE ADI (PROJECT NAME)</v>
          </cell>
        </row>
      </sheetData>
      <sheetData sheetId="525">
        <row r="4">
          <cell r="A4" t="str">
            <v>PROJE ADI (PROJECT NAME)</v>
          </cell>
        </row>
      </sheetData>
      <sheetData sheetId="526">
        <row r="4">
          <cell r="A4" t="str">
            <v>PROJE ADI (PROJECT NAME)</v>
          </cell>
        </row>
      </sheetData>
      <sheetData sheetId="527">
        <row r="4">
          <cell r="A4" t="str">
            <v>PROJE ADI (PROJECT NAME)</v>
          </cell>
        </row>
      </sheetData>
      <sheetData sheetId="528">
        <row r="4">
          <cell r="A4" t="str">
            <v>PROJE ADI (PROJECT NAME)</v>
          </cell>
        </row>
      </sheetData>
      <sheetData sheetId="529" refreshError="1"/>
      <sheetData sheetId="530">
        <row r="4">
          <cell r="A4" t="str">
            <v>PROJE ADI (PROJECT NAME)</v>
          </cell>
        </row>
      </sheetData>
      <sheetData sheetId="531">
        <row r="4">
          <cell r="A4" t="str">
            <v>PROJE ADI (PROJECT NAME)</v>
          </cell>
        </row>
      </sheetData>
      <sheetData sheetId="532">
        <row r="4">
          <cell r="A4" t="str">
            <v>PROJE ADI (PROJECT NAME)</v>
          </cell>
        </row>
      </sheetData>
      <sheetData sheetId="533">
        <row r="4">
          <cell r="A4" t="str">
            <v>PROJE ADI (PROJECT NAME)</v>
          </cell>
        </row>
      </sheetData>
      <sheetData sheetId="534">
        <row r="4">
          <cell r="A4" t="str">
            <v>PROJE ADI (PROJECT NAME)</v>
          </cell>
        </row>
      </sheetData>
      <sheetData sheetId="535">
        <row r="4">
          <cell r="A4" t="str">
            <v>PROJE ADI (PROJECT NAME)</v>
          </cell>
        </row>
      </sheetData>
      <sheetData sheetId="536">
        <row r="4">
          <cell r="A4" t="str">
            <v>PROJE ADI (PROJECT NAME)</v>
          </cell>
        </row>
      </sheetData>
      <sheetData sheetId="537">
        <row r="4">
          <cell r="A4" t="str">
            <v>PROJE ADI (PROJECT NAME)</v>
          </cell>
        </row>
      </sheetData>
      <sheetData sheetId="538">
        <row r="4">
          <cell r="A4" t="str">
            <v>PROJE ADI (PROJECT NAME)</v>
          </cell>
        </row>
      </sheetData>
      <sheetData sheetId="539">
        <row r="4">
          <cell r="A4" t="str">
            <v>PROJE ADI (PROJECT NAME)</v>
          </cell>
        </row>
      </sheetData>
      <sheetData sheetId="540">
        <row r="4">
          <cell r="A4" t="str">
            <v>PROJE ADI (PROJECT NAME)</v>
          </cell>
        </row>
      </sheetData>
      <sheetData sheetId="541">
        <row r="4">
          <cell r="A4" t="str">
            <v>PROJE ADI (PROJECT NAME)</v>
          </cell>
        </row>
      </sheetData>
      <sheetData sheetId="542">
        <row r="4">
          <cell r="A4" t="str">
            <v>PROJE ADI (PROJECT NAME)</v>
          </cell>
        </row>
      </sheetData>
      <sheetData sheetId="543">
        <row r="4">
          <cell r="A4" t="str">
            <v>PROJE ADI (PROJECT NAME)</v>
          </cell>
        </row>
      </sheetData>
      <sheetData sheetId="544">
        <row r="4">
          <cell r="A4" t="str">
            <v>PROJE ADI (PROJECT NAME)</v>
          </cell>
        </row>
      </sheetData>
      <sheetData sheetId="545">
        <row r="4">
          <cell r="A4" t="str">
            <v>PROJE ADI 
(PROJECT NAME)</v>
          </cell>
        </row>
      </sheetData>
      <sheetData sheetId="546">
        <row r="4">
          <cell r="A4" t="str">
            <v>PROJE ADI (PROJECT NAME)</v>
          </cell>
        </row>
      </sheetData>
      <sheetData sheetId="547">
        <row r="4">
          <cell r="A4" t="str">
            <v>PROJE ADI 
(PROJECT NAME)</v>
          </cell>
        </row>
      </sheetData>
      <sheetData sheetId="548">
        <row r="4">
          <cell r="A4" t="str">
            <v>PROJE ADI (PROJECT NAME)</v>
          </cell>
        </row>
      </sheetData>
      <sheetData sheetId="549">
        <row r="4">
          <cell r="A4" t="str">
            <v>PROJE ADI 
(PROJECT NAME)</v>
          </cell>
        </row>
      </sheetData>
      <sheetData sheetId="550">
        <row r="4">
          <cell r="A4" t="str">
            <v>PROJE ADI 
(PROJECT NAME)</v>
          </cell>
        </row>
      </sheetData>
      <sheetData sheetId="551">
        <row r="4">
          <cell r="A4" t="str">
            <v>PROJE ADI 
(PROJECT NAME)</v>
          </cell>
        </row>
      </sheetData>
      <sheetData sheetId="552">
        <row r="4">
          <cell r="A4" t="str">
            <v>PROJE ADI 
(PROJECT NAME)</v>
          </cell>
        </row>
      </sheetData>
      <sheetData sheetId="553">
        <row r="4">
          <cell r="A4" t="str">
            <v>PROJE ADI (PROJECT NAME)</v>
          </cell>
        </row>
      </sheetData>
      <sheetData sheetId="554">
        <row r="4">
          <cell r="A4" t="str">
            <v>PROJE ADI 
(PROJECT NAME)</v>
          </cell>
        </row>
      </sheetData>
      <sheetData sheetId="555">
        <row r="4">
          <cell r="A4" t="str">
            <v>PROJE ADI 
(PROJECT NAME)</v>
          </cell>
        </row>
      </sheetData>
      <sheetData sheetId="556">
        <row r="4">
          <cell r="A4" t="str">
            <v>PROJE ADI 
(PROJECT NAME)</v>
          </cell>
        </row>
      </sheetData>
      <sheetData sheetId="557">
        <row r="4">
          <cell r="A4" t="str">
            <v>PROJE ADI 
(PROJECT NAME)</v>
          </cell>
        </row>
      </sheetData>
      <sheetData sheetId="558">
        <row r="4">
          <cell r="A4" t="str">
            <v>PROJE ADI (PROJECT NAME)</v>
          </cell>
        </row>
      </sheetData>
      <sheetData sheetId="559">
        <row r="4">
          <cell r="A4" t="str">
            <v>PROJE ADI 
(PROJECT NAME)</v>
          </cell>
        </row>
      </sheetData>
      <sheetData sheetId="560">
        <row r="4">
          <cell r="A4" t="str">
            <v>PROJE ADI 
(PROJECT NAME)</v>
          </cell>
        </row>
      </sheetData>
      <sheetData sheetId="561">
        <row r="4">
          <cell r="A4" t="str">
            <v>PROJE ADI 
(PROJECT NAME)</v>
          </cell>
        </row>
      </sheetData>
      <sheetData sheetId="562">
        <row r="4">
          <cell r="A4" t="str">
            <v>PROJE ADI (PROJECT NAME)</v>
          </cell>
        </row>
      </sheetData>
      <sheetData sheetId="563">
        <row r="4">
          <cell r="A4" t="str">
            <v>PROJE ADI (PROJECT NAME)</v>
          </cell>
        </row>
      </sheetData>
      <sheetData sheetId="564">
        <row r="4">
          <cell r="A4" t="str">
            <v>PROJE ADI 
(PROJECT NAME)</v>
          </cell>
        </row>
      </sheetData>
      <sheetData sheetId="565">
        <row r="4">
          <cell r="A4" t="str">
            <v>PROJE ADI 
(PROJECT NAME)</v>
          </cell>
        </row>
      </sheetData>
      <sheetData sheetId="566">
        <row r="4">
          <cell r="A4" t="str">
            <v>PROJE ADI 
(PROJECT NAME)</v>
          </cell>
        </row>
      </sheetData>
      <sheetData sheetId="567">
        <row r="4">
          <cell r="A4" t="str">
            <v>PROJE ADI (PROJECT NAME)</v>
          </cell>
        </row>
      </sheetData>
      <sheetData sheetId="568">
        <row r="4">
          <cell r="A4" t="str">
            <v>PROJE ADI (PROJECT NAME)</v>
          </cell>
        </row>
      </sheetData>
      <sheetData sheetId="569">
        <row r="4">
          <cell r="A4" t="str">
            <v>PROJE ADI (PROJECT NAME)</v>
          </cell>
        </row>
      </sheetData>
      <sheetData sheetId="570">
        <row r="4">
          <cell r="A4" t="str">
            <v>PROJE ADI (PROJECT NAME)</v>
          </cell>
        </row>
      </sheetData>
      <sheetData sheetId="571">
        <row r="4">
          <cell r="A4" t="str">
            <v>PROJE ADI 
(PROJECT NAME)</v>
          </cell>
        </row>
      </sheetData>
      <sheetData sheetId="572">
        <row r="4">
          <cell r="A4" t="str">
            <v>PROJE ADI (PROJECT NAME)</v>
          </cell>
        </row>
      </sheetData>
      <sheetData sheetId="573">
        <row r="4">
          <cell r="A4" t="str">
            <v>PROJE ADI 
(PROJECT NAME)</v>
          </cell>
        </row>
      </sheetData>
      <sheetData sheetId="574">
        <row r="4">
          <cell r="A4" t="str">
            <v>PROJE ADI 
(PROJECT NAME)</v>
          </cell>
        </row>
      </sheetData>
      <sheetData sheetId="575">
        <row r="4">
          <cell r="A4" t="str">
            <v>PROJE ADI 
(PROJECT NAME)</v>
          </cell>
        </row>
      </sheetData>
      <sheetData sheetId="576">
        <row r="4">
          <cell r="A4" t="str">
            <v>PROJE ADI 
(PROJECT NAME)</v>
          </cell>
        </row>
      </sheetData>
      <sheetData sheetId="577">
        <row r="4">
          <cell r="A4" t="str">
            <v>PROJE ADI 
(PROJECT NAME)</v>
          </cell>
        </row>
      </sheetData>
      <sheetData sheetId="578">
        <row r="4">
          <cell r="A4" t="str">
            <v>PROJE ADI (PROJECT NAME)</v>
          </cell>
        </row>
      </sheetData>
      <sheetData sheetId="579">
        <row r="4">
          <cell r="A4" t="str">
            <v>PROJE ADI 
(PROJECT NAME)</v>
          </cell>
        </row>
      </sheetData>
      <sheetData sheetId="580">
        <row r="4">
          <cell r="A4">
            <v>0</v>
          </cell>
        </row>
      </sheetData>
      <sheetData sheetId="581">
        <row r="4">
          <cell r="A4" t="str">
            <v>PROJE ADI 
(PROJECT NAME)</v>
          </cell>
        </row>
      </sheetData>
      <sheetData sheetId="582">
        <row r="4">
          <cell r="A4" t="str">
            <v>PROJE ADI 
(PROJECT NAME)</v>
          </cell>
        </row>
      </sheetData>
      <sheetData sheetId="583">
        <row r="4">
          <cell r="A4" t="str">
            <v>PROJE ADI 
(PROJECT NAME)</v>
          </cell>
        </row>
      </sheetData>
      <sheetData sheetId="584">
        <row r="4">
          <cell r="A4" t="str">
            <v>PROJE ADI 
(PROJECT NAME)</v>
          </cell>
        </row>
      </sheetData>
      <sheetData sheetId="585">
        <row r="4">
          <cell r="A4" t="str">
            <v>PROJE ADI 
(PROJECT NAME)</v>
          </cell>
        </row>
      </sheetData>
      <sheetData sheetId="586">
        <row r="4">
          <cell r="A4" t="str">
            <v>PROJE ADI 
(PROJECT NAME)</v>
          </cell>
        </row>
      </sheetData>
      <sheetData sheetId="587">
        <row r="4">
          <cell r="A4" t="str">
            <v>PROJE ADI 
(PROJECT NAME)</v>
          </cell>
        </row>
      </sheetData>
      <sheetData sheetId="588">
        <row r="4">
          <cell r="A4" t="str">
            <v>PROJE ADI 
(PROJECT NAME)</v>
          </cell>
        </row>
      </sheetData>
      <sheetData sheetId="589">
        <row r="4">
          <cell r="A4" t="str">
            <v>PROJE ADI 
(PROJECT NAME)</v>
          </cell>
        </row>
      </sheetData>
      <sheetData sheetId="590">
        <row r="4">
          <cell r="A4" t="str">
            <v>PROJE ADI (PROJECT NAME)</v>
          </cell>
        </row>
      </sheetData>
      <sheetData sheetId="591">
        <row r="4">
          <cell r="A4" t="str">
            <v>PROJE ADI 
(PROJECT NAME)</v>
          </cell>
        </row>
      </sheetData>
      <sheetData sheetId="592">
        <row r="4">
          <cell r="A4" t="str">
            <v>PROJE ADI 
(PROJECT NAME)</v>
          </cell>
        </row>
      </sheetData>
      <sheetData sheetId="593">
        <row r="4">
          <cell r="A4" t="str">
            <v>PROJE ADI 
(PROJECT NAME)</v>
          </cell>
        </row>
      </sheetData>
      <sheetData sheetId="594">
        <row r="4">
          <cell r="A4" t="str">
            <v>PROJE ADI 
(PROJECT NAME)</v>
          </cell>
        </row>
      </sheetData>
      <sheetData sheetId="595">
        <row r="4">
          <cell r="A4" t="str">
            <v>PROJE ADI 
(PROJECT NAME)</v>
          </cell>
        </row>
      </sheetData>
      <sheetData sheetId="596">
        <row r="4">
          <cell r="A4" t="str">
            <v>PROJE ADI 
(PROJECT NAME)</v>
          </cell>
        </row>
      </sheetData>
      <sheetData sheetId="597">
        <row r="4">
          <cell r="A4" t="str">
            <v>PROJE ADI (PROJECT NAME)</v>
          </cell>
        </row>
      </sheetData>
      <sheetData sheetId="598">
        <row r="4">
          <cell r="A4" t="str">
            <v>PROJE ADI 
(PROJECT NAME)</v>
          </cell>
        </row>
      </sheetData>
      <sheetData sheetId="599">
        <row r="4">
          <cell r="A4" t="str">
            <v>PROJE ADI 
(PROJECT NAME)</v>
          </cell>
        </row>
      </sheetData>
      <sheetData sheetId="600">
        <row r="4">
          <cell r="A4" t="str">
            <v>PROJE ADI 
(PROJECT NAME)</v>
          </cell>
        </row>
      </sheetData>
      <sheetData sheetId="601">
        <row r="4">
          <cell r="A4" t="str">
            <v>PROJE ADI 
(PROJECT NAME)</v>
          </cell>
        </row>
      </sheetData>
      <sheetData sheetId="602">
        <row r="4">
          <cell r="A4" t="str">
            <v>PROJE ADI (PROJECT NAME)</v>
          </cell>
        </row>
      </sheetData>
      <sheetData sheetId="603">
        <row r="4">
          <cell r="A4" t="str">
            <v>PROJE ADI (PROJECT NAME)</v>
          </cell>
        </row>
      </sheetData>
      <sheetData sheetId="604">
        <row r="4">
          <cell r="A4" t="str">
            <v>PROJE ADI (PROJECT NAME)</v>
          </cell>
        </row>
      </sheetData>
      <sheetData sheetId="605">
        <row r="4">
          <cell r="A4" t="str">
            <v>PROJE ADI (PROJECT NAME)</v>
          </cell>
        </row>
      </sheetData>
      <sheetData sheetId="606">
        <row r="4">
          <cell r="A4" t="str">
            <v>PROJE ADI (PROJECT NAME)</v>
          </cell>
        </row>
      </sheetData>
      <sheetData sheetId="607">
        <row r="4">
          <cell r="A4" t="str">
            <v>PROJE ADI (PROJECT NAME)</v>
          </cell>
        </row>
      </sheetData>
      <sheetData sheetId="608">
        <row r="4">
          <cell r="A4" t="str">
            <v>PROJE ADI (PROJECT NAME)</v>
          </cell>
        </row>
      </sheetData>
      <sheetData sheetId="609">
        <row r="4">
          <cell r="A4" t="str">
            <v>PROJE ADI (PROJECT NAME)</v>
          </cell>
        </row>
      </sheetData>
      <sheetData sheetId="610">
        <row r="4">
          <cell r="A4" t="str">
            <v>PROJE ADI (PROJECT NAME)</v>
          </cell>
        </row>
      </sheetData>
      <sheetData sheetId="611">
        <row r="4">
          <cell r="A4" t="str">
            <v>PROJE ADI (PROJECT NAME)</v>
          </cell>
        </row>
      </sheetData>
      <sheetData sheetId="612">
        <row r="4">
          <cell r="A4" t="str">
            <v>PROJE ADI (PROJECT NAME)</v>
          </cell>
        </row>
      </sheetData>
      <sheetData sheetId="613">
        <row r="4">
          <cell r="A4" t="str">
            <v>PROJE ADI (PROJECT NAME)</v>
          </cell>
        </row>
      </sheetData>
      <sheetData sheetId="614">
        <row r="4">
          <cell r="A4" t="str">
            <v>PROJE ADI (PROJECT NAME)</v>
          </cell>
        </row>
      </sheetData>
      <sheetData sheetId="615">
        <row r="4">
          <cell r="A4" t="str">
            <v>PROJE ADI (PROJECT NAME)</v>
          </cell>
        </row>
      </sheetData>
      <sheetData sheetId="616">
        <row r="4">
          <cell r="A4" t="str">
            <v>PROJE ADI (PROJECT NAME)</v>
          </cell>
        </row>
      </sheetData>
      <sheetData sheetId="617">
        <row r="4">
          <cell r="A4" t="str">
            <v>PROJE ADI (PROJECT NAME)</v>
          </cell>
        </row>
      </sheetData>
      <sheetData sheetId="618">
        <row r="4">
          <cell r="A4" t="str">
            <v>PROJE ADI (PROJECT NAME)</v>
          </cell>
        </row>
      </sheetData>
      <sheetData sheetId="619">
        <row r="4">
          <cell r="A4" t="str">
            <v>PROJE ADI (PROJECT NAME)</v>
          </cell>
        </row>
      </sheetData>
      <sheetData sheetId="620">
        <row r="4">
          <cell r="A4" t="str">
            <v>PROJE ADI (PROJECT NAME)</v>
          </cell>
        </row>
      </sheetData>
      <sheetData sheetId="621">
        <row r="4">
          <cell r="A4" t="str">
            <v>PROJE ADI (PROJECT NAME)</v>
          </cell>
        </row>
      </sheetData>
      <sheetData sheetId="622">
        <row r="4">
          <cell r="A4" t="str">
            <v>PROJE ADI (PROJECT NAME)</v>
          </cell>
        </row>
      </sheetData>
      <sheetData sheetId="623">
        <row r="4">
          <cell r="A4" t="str">
            <v>PROJE ADI (PROJECT NAME)</v>
          </cell>
        </row>
      </sheetData>
      <sheetData sheetId="624">
        <row r="4">
          <cell r="A4" t="str">
            <v>PROJE ADI (PROJECT NAME)</v>
          </cell>
        </row>
      </sheetData>
      <sheetData sheetId="625">
        <row r="4">
          <cell r="A4" t="str">
            <v>PROJE ADI (PROJECT NAME)</v>
          </cell>
        </row>
      </sheetData>
      <sheetData sheetId="626">
        <row r="4">
          <cell r="A4">
            <v>0</v>
          </cell>
        </row>
      </sheetData>
      <sheetData sheetId="627">
        <row r="4">
          <cell r="A4" t="str">
            <v>PROJE ADI (PROJECT NAME)</v>
          </cell>
        </row>
      </sheetData>
      <sheetData sheetId="628">
        <row r="4">
          <cell r="A4" t="str">
            <v>PROJE ADI (PROJECT NAME)</v>
          </cell>
        </row>
      </sheetData>
      <sheetData sheetId="629">
        <row r="4">
          <cell r="A4" t="str">
            <v>PROJE ADI (PROJECT NAME)</v>
          </cell>
        </row>
      </sheetData>
      <sheetData sheetId="630">
        <row r="4">
          <cell r="A4" t="str">
            <v>PROJE ADI (PROJECT NAME)</v>
          </cell>
        </row>
      </sheetData>
      <sheetData sheetId="631">
        <row r="4">
          <cell r="A4" t="str">
            <v>PROJE ADI (PROJECT NAME)</v>
          </cell>
        </row>
      </sheetData>
      <sheetData sheetId="632">
        <row r="4">
          <cell r="A4" t="str">
            <v>PROJE ADI (PROJECT NAME)</v>
          </cell>
        </row>
      </sheetData>
      <sheetData sheetId="633">
        <row r="4">
          <cell r="A4" t="str">
            <v>PROJE ADI (PROJECT NAME)</v>
          </cell>
        </row>
      </sheetData>
      <sheetData sheetId="634">
        <row r="4">
          <cell r="A4" t="str">
            <v>PROJE ADI (PROJECT NAME)</v>
          </cell>
        </row>
      </sheetData>
      <sheetData sheetId="635">
        <row r="4">
          <cell r="A4" t="str">
            <v>PROJE ADI (PROJECT NAME)</v>
          </cell>
        </row>
      </sheetData>
      <sheetData sheetId="636">
        <row r="4">
          <cell r="A4" t="str">
            <v>PROJE ADI (PROJECT NAME)</v>
          </cell>
        </row>
      </sheetData>
      <sheetData sheetId="637">
        <row r="4">
          <cell r="A4" t="str">
            <v>PROJE ADI (PROJECT NAME)</v>
          </cell>
        </row>
      </sheetData>
      <sheetData sheetId="638">
        <row r="4">
          <cell r="A4" t="str">
            <v>PROJE ADI 
(PROJECT NAME)</v>
          </cell>
        </row>
      </sheetData>
      <sheetData sheetId="639">
        <row r="4">
          <cell r="A4" t="str">
            <v>PROJE ADI (PROJECT NAME)</v>
          </cell>
        </row>
      </sheetData>
      <sheetData sheetId="640">
        <row r="4">
          <cell r="A4" t="str">
            <v>PROJE ADI (PROJECT NAME)</v>
          </cell>
        </row>
      </sheetData>
      <sheetData sheetId="641">
        <row r="4">
          <cell r="A4" t="str">
            <v>PROJE ADI 
(PROJECT NAME)</v>
          </cell>
        </row>
      </sheetData>
      <sheetData sheetId="642">
        <row r="4">
          <cell r="A4" t="str">
            <v>PROJE ADI (PROJECT NAME)</v>
          </cell>
        </row>
      </sheetData>
      <sheetData sheetId="643">
        <row r="4">
          <cell r="A4" t="str">
            <v>PROJE ADI 
(PROJECT NAME)</v>
          </cell>
        </row>
      </sheetData>
      <sheetData sheetId="644">
        <row r="4">
          <cell r="A4" t="str">
            <v>PROJE ADI (PROJECT NAME)</v>
          </cell>
        </row>
      </sheetData>
      <sheetData sheetId="645">
        <row r="4">
          <cell r="A4" t="str">
            <v>PROJE ADI 
(PROJECT NAME)</v>
          </cell>
        </row>
      </sheetData>
      <sheetData sheetId="646">
        <row r="4">
          <cell r="A4" t="str">
            <v>PROJE ADI (PROJECT NAME)</v>
          </cell>
        </row>
      </sheetData>
      <sheetData sheetId="647">
        <row r="4">
          <cell r="A4" t="str">
            <v>PROJE ADI 
(PROJECT NAME)</v>
          </cell>
        </row>
      </sheetData>
      <sheetData sheetId="648">
        <row r="4">
          <cell r="A4" t="str">
            <v>PROJE ADI 
(PROJECT NAME)</v>
          </cell>
        </row>
      </sheetData>
      <sheetData sheetId="649">
        <row r="4">
          <cell r="A4" t="str">
            <v>PROJE ADI 
(PROJECT NAME)</v>
          </cell>
        </row>
      </sheetData>
      <sheetData sheetId="650">
        <row r="4">
          <cell r="A4" t="str">
            <v>PROJE ADI (PROJECT NAME)</v>
          </cell>
        </row>
      </sheetData>
      <sheetData sheetId="651">
        <row r="4">
          <cell r="A4" t="str">
            <v>PROJE ADI 
(PROJECT NAME)</v>
          </cell>
        </row>
      </sheetData>
      <sheetData sheetId="652">
        <row r="4">
          <cell r="A4" t="str">
            <v>PROJE ADI 
(PROJECT NAME)</v>
          </cell>
        </row>
      </sheetData>
      <sheetData sheetId="653">
        <row r="4">
          <cell r="A4" t="str">
            <v>PROJE ADI 
(PROJECT NAME)</v>
          </cell>
        </row>
      </sheetData>
      <sheetData sheetId="654">
        <row r="4">
          <cell r="A4" t="str">
            <v>PROJE ADI 
(PROJECT NAME)</v>
          </cell>
        </row>
      </sheetData>
      <sheetData sheetId="655">
        <row r="4">
          <cell r="A4" t="str">
            <v>PROJE ADI 
(PROJECT NAME)</v>
          </cell>
        </row>
      </sheetData>
      <sheetData sheetId="656">
        <row r="4">
          <cell r="A4" t="str">
            <v>PROJE ADI 
(PROJECT NAME)</v>
          </cell>
        </row>
      </sheetData>
      <sheetData sheetId="657">
        <row r="4">
          <cell r="A4" t="str">
            <v>PROJE ADI 
(PROJECT NAME)</v>
          </cell>
        </row>
      </sheetData>
      <sheetData sheetId="658">
        <row r="4">
          <cell r="A4" t="str">
            <v>PROJE ADI 
(PROJECT NAME)</v>
          </cell>
        </row>
      </sheetData>
      <sheetData sheetId="659">
        <row r="4">
          <cell r="A4" t="str">
            <v>PROJE ADI (PROJECT NAME)</v>
          </cell>
        </row>
      </sheetData>
      <sheetData sheetId="660">
        <row r="4">
          <cell r="A4" t="str">
            <v>PROJE ADI (PROJECT NAME)</v>
          </cell>
        </row>
      </sheetData>
      <sheetData sheetId="661">
        <row r="4">
          <cell r="A4" t="str">
            <v>PROJE ADI (PROJECT NAME)</v>
          </cell>
        </row>
      </sheetData>
      <sheetData sheetId="662">
        <row r="4">
          <cell r="A4" t="str">
            <v>PROJE ADI (PROJECT NAME)</v>
          </cell>
        </row>
      </sheetData>
      <sheetData sheetId="663">
        <row r="4">
          <cell r="A4" t="str">
            <v>PROJE ADI (PROJECT NAME)</v>
          </cell>
        </row>
      </sheetData>
      <sheetData sheetId="664">
        <row r="4">
          <cell r="A4" t="str">
            <v>PROJE ADI (PROJECT NAME)</v>
          </cell>
        </row>
      </sheetData>
      <sheetData sheetId="665">
        <row r="4">
          <cell r="A4" t="str">
            <v>PROJE ADI (PROJECT NAME)</v>
          </cell>
        </row>
      </sheetData>
      <sheetData sheetId="666">
        <row r="4">
          <cell r="A4" t="str">
            <v>PROJE ADI (PROJECT NAME)</v>
          </cell>
        </row>
      </sheetData>
      <sheetData sheetId="667">
        <row r="4">
          <cell r="A4" t="str">
            <v>PROJE ADI (PROJECT NAME)</v>
          </cell>
        </row>
      </sheetData>
      <sheetData sheetId="668">
        <row r="4">
          <cell r="A4" t="str">
            <v>PROJE ADI (PROJECT NAME)</v>
          </cell>
        </row>
      </sheetData>
      <sheetData sheetId="669">
        <row r="4">
          <cell r="A4" t="str">
            <v>PROJE ADI (PROJECT NAME)</v>
          </cell>
        </row>
      </sheetData>
      <sheetData sheetId="670">
        <row r="4">
          <cell r="A4" t="str">
            <v>PROJE ADI (PROJECT NAME)</v>
          </cell>
        </row>
      </sheetData>
      <sheetData sheetId="671">
        <row r="4">
          <cell r="A4" t="str">
            <v>PROJE ADI (PROJECT NAME)</v>
          </cell>
        </row>
      </sheetData>
      <sheetData sheetId="672">
        <row r="4">
          <cell r="A4" t="str">
            <v>PROJE ADI (PROJECT NAME)</v>
          </cell>
        </row>
      </sheetData>
      <sheetData sheetId="673">
        <row r="4">
          <cell r="A4" t="str">
            <v>PROJE ADI (PROJECT NAME)</v>
          </cell>
        </row>
      </sheetData>
      <sheetData sheetId="674">
        <row r="4">
          <cell r="A4" t="str">
            <v>PROJE ADI (PROJECT NAME)</v>
          </cell>
        </row>
      </sheetData>
      <sheetData sheetId="675">
        <row r="4">
          <cell r="A4" t="str">
            <v>PROJE ADI (PROJECT NAME)</v>
          </cell>
        </row>
      </sheetData>
      <sheetData sheetId="676">
        <row r="4">
          <cell r="A4" t="str">
            <v>PROJE ADI (PROJECT NAME)</v>
          </cell>
        </row>
      </sheetData>
      <sheetData sheetId="677">
        <row r="4">
          <cell r="A4" t="str">
            <v>PROJE ADI (PROJECT NAME)</v>
          </cell>
        </row>
      </sheetData>
      <sheetData sheetId="678">
        <row r="4">
          <cell r="A4" t="str">
            <v>PROJE ADI (PROJECT NAME)</v>
          </cell>
        </row>
      </sheetData>
      <sheetData sheetId="679">
        <row r="4">
          <cell r="A4" t="str">
            <v>PROJE ADI (PROJECT NAME)</v>
          </cell>
        </row>
      </sheetData>
      <sheetData sheetId="680">
        <row r="4">
          <cell r="A4" t="str">
            <v>PROJE ADI (PROJECT NAME)</v>
          </cell>
        </row>
      </sheetData>
      <sheetData sheetId="681">
        <row r="4">
          <cell r="A4" t="str">
            <v>PROJE ADI (PROJECT NAME)</v>
          </cell>
        </row>
      </sheetData>
      <sheetData sheetId="682">
        <row r="4">
          <cell r="A4" t="str">
            <v>PROJE ADI (PROJECT NAME)</v>
          </cell>
        </row>
      </sheetData>
      <sheetData sheetId="683">
        <row r="4">
          <cell r="A4" t="str">
            <v>PROJE ADI 
(PROJECT NAME)</v>
          </cell>
        </row>
      </sheetData>
      <sheetData sheetId="684">
        <row r="4">
          <cell r="A4" t="str">
            <v>PROJE ADI 
(PROJECT NAME)</v>
          </cell>
        </row>
      </sheetData>
      <sheetData sheetId="685">
        <row r="4">
          <cell r="A4" t="str">
            <v>PROJE ADI 
(PROJECT NAME)</v>
          </cell>
        </row>
      </sheetData>
      <sheetData sheetId="686">
        <row r="4">
          <cell r="A4" t="str">
            <v>PROJE ADI 
(PROJECT NAME)</v>
          </cell>
        </row>
      </sheetData>
      <sheetData sheetId="687">
        <row r="4">
          <cell r="A4" t="str">
            <v>PROJE ADI 
(PROJECT NAME)</v>
          </cell>
        </row>
      </sheetData>
      <sheetData sheetId="688">
        <row r="4">
          <cell r="A4" t="str">
            <v>PROJE ADI 
(PROJECT NAME)</v>
          </cell>
        </row>
      </sheetData>
      <sheetData sheetId="689">
        <row r="4">
          <cell r="A4" t="str">
            <v>PROJE ADI 
(PROJECT NAME)</v>
          </cell>
        </row>
      </sheetData>
      <sheetData sheetId="690">
        <row r="4">
          <cell r="A4" t="str">
            <v>PROJE ADI (PROJECT NAME)</v>
          </cell>
        </row>
      </sheetData>
      <sheetData sheetId="691">
        <row r="4">
          <cell r="A4" t="str">
            <v>PROJE ADI (PROJECT NAME)</v>
          </cell>
        </row>
      </sheetData>
      <sheetData sheetId="692">
        <row r="4">
          <cell r="A4" t="str">
            <v>PROJE ADI (PROJECT NAME)</v>
          </cell>
        </row>
      </sheetData>
      <sheetData sheetId="693">
        <row r="4">
          <cell r="A4" t="str">
            <v>PROJE ADI (PROJECT NAME)</v>
          </cell>
        </row>
      </sheetData>
      <sheetData sheetId="694">
        <row r="4">
          <cell r="A4" t="str">
            <v>PROJE ADI (PROJECT NAME)</v>
          </cell>
        </row>
      </sheetData>
      <sheetData sheetId="695">
        <row r="4">
          <cell r="A4" t="str">
            <v>PROJE ADI (PROJECT NAME)</v>
          </cell>
        </row>
      </sheetData>
      <sheetData sheetId="696">
        <row r="4">
          <cell r="A4" t="str">
            <v>PROJE ADI (PROJECT NAME)</v>
          </cell>
        </row>
      </sheetData>
      <sheetData sheetId="697">
        <row r="4">
          <cell r="A4" t="str">
            <v>PROJE ADI (PROJECT NAME)</v>
          </cell>
        </row>
      </sheetData>
      <sheetData sheetId="698">
        <row r="4">
          <cell r="A4" t="str">
            <v>PROJE ADI (PROJECT NAME)</v>
          </cell>
        </row>
      </sheetData>
      <sheetData sheetId="699">
        <row r="4">
          <cell r="A4" t="str">
            <v>PROJE ADI (PROJECT NAME)</v>
          </cell>
        </row>
      </sheetData>
      <sheetData sheetId="700">
        <row r="4">
          <cell r="A4" t="str">
            <v>PROJE ADI (PROJECT NAME)</v>
          </cell>
        </row>
      </sheetData>
      <sheetData sheetId="701">
        <row r="4">
          <cell r="A4" t="str">
            <v>PROJE ADI (PROJECT NAME)</v>
          </cell>
        </row>
      </sheetData>
      <sheetData sheetId="702">
        <row r="4">
          <cell r="A4" t="str">
            <v>PROJE ADI (PROJECT NAME)</v>
          </cell>
        </row>
      </sheetData>
      <sheetData sheetId="703">
        <row r="4">
          <cell r="A4" t="str">
            <v>PROJE ADI (PROJECT NAME)</v>
          </cell>
        </row>
      </sheetData>
      <sheetData sheetId="704">
        <row r="4">
          <cell r="A4" t="str">
            <v>PROJE ADI (PROJECT NAME)</v>
          </cell>
        </row>
      </sheetData>
      <sheetData sheetId="705">
        <row r="4">
          <cell r="A4" t="str">
            <v>PROJE ADI (PROJECT NAME)</v>
          </cell>
        </row>
      </sheetData>
      <sheetData sheetId="706">
        <row r="4">
          <cell r="A4" t="str">
            <v>PROJE ADI (PROJECT NAME)</v>
          </cell>
        </row>
      </sheetData>
      <sheetData sheetId="707">
        <row r="4">
          <cell r="A4" t="str">
            <v>PROJE ADI (PROJECT NAME)</v>
          </cell>
        </row>
      </sheetData>
      <sheetData sheetId="708">
        <row r="4">
          <cell r="A4" t="str">
            <v>PROJE ADI (PROJECT NAME)</v>
          </cell>
        </row>
      </sheetData>
      <sheetData sheetId="709">
        <row r="4">
          <cell r="A4" t="str">
            <v>PROJE ADI (PROJECT NAME)</v>
          </cell>
        </row>
      </sheetData>
      <sheetData sheetId="710">
        <row r="4">
          <cell r="A4" t="str">
            <v>PROJE ADI (PROJECT NAME)</v>
          </cell>
        </row>
      </sheetData>
      <sheetData sheetId="711">
        <row r="4">
          <cell r="A4" t="str">
            <v>PROJE ADI (PROJECT NAME)</v>
          </cell>
        </row>
      </sheetData>
      <sheetData sheetId="712">
        <row r="4">
          <cell r="A4" t="str">
            <v>PROJE ADI (PROJECT NAME)</v>
          </cell>
        </row>
      </sheetData>
      <sheetData sheetId="713">
        <row r="4">
          <cell r="A4" t="str">
            <v>PROJE ADI (PROJECT NAME)</v>
          </cell>
        </row>
      </sheetData>
      <sheetData sheetId="714">
        <row r="4">
          <cell r="A4" t="str">
            <v>PROJE ADI (PROJECT NAME)</v>
          </cell>
        </row>
      </sheetData>
      <sheetData sheetId="715">
        <row r="4">
          <cell r="A4" t="str">
            <v>PROJE ADI (PROJECT NAME)</v>
          </cell>
        </row>
      </sheetData>
      <sheetData sheetId="716">
        <row r="4">
          <cell r="A4" t="str">
            <v>PROJE ADI (PROJECT NAME)</v>
          </cell>
        </row>
      </sheetData>
      <sheetData sheetId="717">
        <row r="4">
          <cell r="A4" t="str">
            <v>PROJE ADI (PROJECT NAME)</v>
          </cell>
        </row>
      </sheetData>
      <sheetData sheetId="718">
        <row r="4">
          <cell r="A4" t="str">
            <v>PROJE ADI (PROJECT NAME)</v>
          </cell>
        </row>
      </sheetData>
      <sheetData sheetId="719">
        <row r="4">
          <cell r="A4" t="str">
            <v>PROJE ADI (PROJECT NAME)</v>
          </cell>
        </row>
      </sheetData>
      <sheetData sheetId="720">
        <row r="4">
          <cell r="A4" t="str">
            <v>PROJE ADI (PROJECT NAME)</v>
          </cell>
        </row>
      </sheetData>
      <sheetData sheetId="721">
        <row r="4">
          <cell r="A4" t="str">
            <v>PROJE ADI 
(PROJECT NAME)</v>
          </cell>
        </row>
      </sheetData>
      <sheetData sheetId="722">
        <row r="4">
          <cell r="A4" t="str">
            <v>PROJE ADI (PROJECT NAME)</v>
          </cell>
        </row>
      </sheetData>
      <sheetData sheetId="723">
        <row r="4">
          <cell r="A4" t="str">
            <v>PROJE ADI (PROJECT NAME)</v>
          </cell>
        </row>
      </sheetData>
      <sheetData sheetId="724">
        <row r="4">
          <cell r="A4" t="str">
            <v>PROJE ADI (PROJECT NAME)</v>
          </cell>
        </row>
      </sheetData>
      <sheetData sheetId="725">
        <row r="4">
          <cell r="A4" t="str">
            <v>PROJE ADI (PROJECT NAME)</v>
          </cell>
        </row>
      </sheetData>
      <sheetData sheetId="726">
        <row r="4">
          <cell r="A4" t="str">
            <v>PROJE ADI (PROJECT NAME)</v>
          </cell>
        </row>
      </sheetData>
      <sheetData sheetId="727">
        <row r="4">
          <cell r="A4" t="str">
            <v>PROJE ADI (PROJECT NAME)</v>
          </cell>
        </row>
      </sheetData>
      <sheetData sheetId="728">
        <row r="4">
          <cell r="A4" t="str">
            <v>PROJE ADI (PROJECT NAME)</v>
          </cell>
        </row>
      </sheetData>
      <sheetData sheetId="729">
        <row r="4">
          <cell r="A4" t="str">
            <v>PROJE ADI (PROJECT NAME)</v>
          </cell>
        </row>
      </sheetData>
      <sheetData sheetId="730">
        <row r="4">
          <cell r="A4" t="str">
            <v>PROJE ADI (PROJECT NAME)</v>
          </cell>
        </row>
      </sheetData>
      <sheetData sheetId="731">
        <row r="4">
          <cell r="A4" t="str">
            <v>PROJE ADI (PROJECT NAME)</v>
          </cell>
        </row>
      </sheetData>
      <sheetData sheetId="732">
        <row r="4">
          <cell r="A4" t="str">
            <v>PROJE ADI (PROJECT NAME)</v>
          </cell>
        </row>
      </sheetData>
      <sheetData sheetId="733">
        <row r="4">
          <cell r="A4" t="str">
            <v>PROJE ADI (PROJECT NAME)</v>
          </cell>
        </row>
      </sheetData>
      <sheetData sheetId="734">
        <row r="4">
          <cell r="A4" t="str">
            <v>PROJE ADI (PROJECT NAME)</v>
          </cell>
        </row>
      </sheetData>
      <sheetData sheetId="735">
        <row r="4">
          <cell r="A4" t="str">
            <v>PROJE ADI 
(PROJECT NAME)</v>
          </cell>
        </row>
      </sheetData>
      <sheetData sheetId="736">
        <row r="4">
          <cell r="A4" t="str">
            <v>PROJE ADI (PROJECT NAME)</v>
          </cell>
        </row>
      </sheetData>
      <sheetData sheetId="737">
        <row r="4">
          <cell r="A4" t="str">
            <v>PROJE ADI (PROJECT NAME)</v>
          </cell>
        </row>
      </sheetData>
      <sheetData sheetId="738">
        <row r="4">
          <cell r="A4" t="str">
            <v>PROJE ADI 
(PROJECT NAME)</v>
          </cell>
        </row>
      </sheetData>
      <sheetData sheetId="739">
        <row r="4">
          <cell r="A4" t="str">
            <v>PROJE ADI (PROJECT NAME)</v>
          </cell>
        </row>
      </sheetData>
      <sheetData sheetId="740">
        <row r="4">
          <cell r="A4" t="str">
            <v>PROJE ADI 
(PROJECT NAME)</v>
          </cell>
        </row>
      </sheetData>
      <sheetData sheetId="741">
        <row r="4">
          <cell r="A4" t="str">
            <v>PROJE ADI (PROJECT NAME)</v>
          </cell>
        </row>
      </sheetData>
      <sheetData sheetId="742">
        <row r="4">
          <cell r="A4" t="str">
            <v>PROJE ADI 
(PROJECT NAME)</v>
          </cell>
        </row>
      </sheetData>
      <sheetData sheetId="743">
        <row r="4">
          <cell r="A4" t="str">
            <v>PROJE ADI (PROJECT NAME)</v>
          </cell>
        </row>
      </sheetData>
      <sheetData sheetId="744">
        <row r="4">
          <cell r="A4" t="str">
            <v>PROJE ADI 
(PROJECT NAME)</v>
          </cell>
        </row>
      </sheetData>
      <sheetData sheetId="745">
        <row r="4">
          <cell r="A4" t="str">
            <v>PROJE ADI 
(PROJECT NAME)</v>
          </cell>
        </row>
      </sheetData>
      <sheetData sheetId="746">
        <row r="4">
          <cell r="A4" t="str">
            <v>PROJE ADI 
(PROJECT NAME)</v>
          </cell>
        </row>
      </sheetData>
      <sheetData sheetId="747">
        <row r="4">
          <cell r="A4" t="str">
            <v>PROJE ADI (PROJECT NAME)</v>
          </cell>
        </row>
      </sheetData>
      <sheetData sheetId="748">
        <row r="4">
          <cell r="A4" t="str">
            <v>PROJE ADI 
(PROJECT NAME)</v>
          </cell>
        </row>
      </sheetData>
      <sheetData sheetId="749">
        <row r="4">
          <cell r="A4" t="str">
            <v>PROJE ADI 
(PROJECT NAME)</v>
          </cell>
        </row>
      </sheetData>
      <sheetData sheetId="750">
        <row r="4">
          <cell r="A4" t="str">
            <v>PROJE ADI 
(PROJECT NAME)</v>
          </cell>
        </row>
      </sheetData>
      <sheetData sheetId="751">
        <row r="4">
          <cell r="A4" t="str">
            <v>PROJE ADI 
(PROJECT NAME)</v>
          </cell>
        </row>
      </sheetData>
      <sheetData sheetId="752">
        <row r="4">
          <cell r="A4" t="str">
            <v>PROJE ADI 
(PROJECT NAME)</v>
          </cell>
        </row>
      </sheetData>
      <sheetData sheetId="753">
        <row r="4">
          <cell r="A4" t="str">
            <v>PROJE ADI 
(PROJECT NAME)</v>
          </cell>
        </row>
      </sheetData>
      <sheetData sheetId="754">
        <row r="4">
          <cell r="A4" t="str">
            <v>PROJE ADI 
(PROJECT NAME)</v>
          </cell>
        </row>
      </sheetData>
      <sheetData sheetId="755">
        <row r="4">
          <cell r="A4" t="str">
            <v>PROJE ADI 
(PROJECT NAME)</v>
          </cell>
        </row>
      </sheetData>
      <sheetData sheetId="756">
        <row r="4">
          <cell r="A4" t="str">
            <v>PROJE ADI (PROJECT NAME)</v>
          </cell>
        </row>
      </sheetData>
      <sheetData sheetId="757">
        <row r="4">
          <cell r="A4" t="str">
            <v>PROJE ADI (PROJECT NAME)</v>
          </cell>
        </row>
      </sheetData>
      <sheetData sheetId="758">
        <row r="4">
          <cell r="A4" t="str">
            <v>PROJE ADI (PROJECT NAME)</v>
          </cell>
        </row>
      </sheetData>
      <sheetData sheetId="759">
        <row r="4">
          <cell r="A4" t="str">
            <v>PROJE ADI (PROJECT NAME)</v>
          </cell>
        </row>
      </sheetData>
      <sheetData sheetId="760">
        <row r="4">
          <cell r="A4" t="str">
            <v>PROJE ADI (PROJECT NAME)</v>
          </cell>
        </row>
      </sheetData>
      <sheetData sheetId="761">
        <row r="4">
          <cell r="A4" t="str">
            <v>PROJE ADI (PROJECT NAME)</v>
          </cell>
        </row>
      </sheetData>
      <sheetData sheetId="762">
        <row r="4">
          <cell r="A4" t="str">
            <v>PROJE ADI (PROJECT NAME)</v>
          </cell>
        </row>
      </sheetData>
      <sheetData sheetId="763">
        <row r="4">
          <cell r="A4" t="str">
            <v>PROJE ADI (PROJECT NAME)</v>
          </cell>
        </row>
      </sheetData>
      <sheetData sheetId="764">
        <row r="4">
          <cell r="A4" t="str">
            <v>PROJE ADI 
(PROJECT NAME)</v>
          </cell>
        </row>
      </sheetData>
      <sheetData sheetId="765">
        <row r="4">
          <cell r="A4" t="str">
            <v>PROJE ADI 
(PROJECT NAME)</v>
          </cell>
        </row>
      </sheetData>
      <sheetData sheetId="766">
        <row r="4">
          <cell r="A4" t="str">
            <v>PROJE ADI 
(PROJECT NAME)</v>
          </cell>
        </row>
      </sheetData>
      <sheetData sheetId="767">
        <row r="4">
          <cell r="A4" t="str">
            <v>PROJE ADI 
(PROJECT NAME)</v>
          </cell>
        </row>
      </sheetData>
      <sheetData sheetId="768">
        <row r="4">
          <cell r="A4" t="str">
            <v>PROJE ADI 
(PROJECT NAME)</v>
          </cell>
        </row>
      </sheetData>
      <sheetData sheetId="769">
        <row r="4">
          <cell r="A4" t="str">
            <v>PROJE ADI (PROJECT NAME)</v>
          </cell>
        </row>
      </sheetData>
      <sheetData sheetId="770">
        <row r="4">
          <cell r="A4" t="str">
            <v>PROJE ADI 
(PROJECT NAME)</v>
          </cell>
        </row>
      </sheetData>
      <sheetData sheetId="771">
        <row r="4">
          <cell r="A4" t="str">
            <v>PROJE ADI 
(PROJECT NAME)</v>
          </cell>
        </row>
      </sheetData>
      <sheetData sheetId="772">
        <row r="4">
          <cell r="A4" t="str">
            <v>PROJE ADI 
(PROJECT NAME)</v>
          </cell>
        </row>
      </sheetData>
      <sheetData sheetId="773">
        <row r="4">
          <cell r="A4" t="str">
            <v>PROJE ADI (PROJECT NAME)</v>
          </cell>
        </row>
      </sheetData>
      <sheetData sheetId="774">
        <row r="4">
          <cell r="A4" t="str">
            <v>PROJE ADI (PROJECT NAME)</v>
          </cell>
        </row>
      </sheetData>
      <sheetData sheetId="775">
        <row r="4">
          <cell r="A4" t="str">
            <v>PROJE ADI (PROJECT NAME)</v>
          </cell>
        </row>
      </sheetData>
      <sheetData sheetId="776">
        <row r="4">
          <cell r="A4" t="str">
            <v>PROJE ADI (PROJECT NAME)</v>
          </cell>
        </row>
      </sheetData>
      <sheetData sheetId="777">
        <row r="4">
          <cell r="A4" t="str">
            <v>PROJE ADI 
(PROJECT NAME)</v>
          </cell>
        </row>
      </sheetData>
      <sheetData sheetId="778">
        <row r="4">
          <cell r="A4" t="str">
            <v>PROJE ADI (PROJECT NAME)</v>
          </cell>
        </row>
      </sheetData>
      <sheetData sheetId="779">
        <row r="4">
          <cell r="A4" t="str">
            <v>PROJE ADI (PROJECT NAME)</v>
          </cell>
        </row>
      </sheetData>
      <sheetData sheetId="780">
        <row r="4">
          <cell r="A4" t="str">
            <v>PROJE ADI 
(PROJECT NAME)</v>
          </cell>
        </row>
      </sheetData>
      <sheetData sheetId="781">
        <row r="4">
          <cell r="A4" t="str">
            <v>PROJE ADI 
(PROJECT NAME)</v>
          </cell>
        </row>
      </sheetData>
      <sheetData sheetId="782">
        <row r="4">
          <cell r="A4" t="str">
            <v>PROJE ADI 
(PROJECT NAME)</v>
          </cell>
        </row>
      </sheetData>
      <sheetData sheetId="783">
        <row r="4">
          <cell r="A4" t="str">
            <v>PROJE ADI 
(PROJECT NAME)</v>
          </cell>
        </row>
      </sheetData>
      <sheetData sheetId="784">
        <row r="4">
          <cell r="A4" t="str">
            <v>PROJE ADI 
(PROJECT NAME)</v>
          </cell>
        </row>
      </sheetData>
      <sheetData sheetId="785">
        <row r="4">
          <cell r="A4" t="str">
            <v>PROJE ADI 
(PROJECT NAME)</v>
          </cell>
        </row>
      </sheetData>
      <sheetData sheetId="786">
        <row r="4">
          <cell r="A4" t="str">
            <v>PROJE ADI 
(PROJECT NAME)</v>
          </cell>
        </row>
      </sheetData>
      <sheetData sheetId="787">
        <row r="4">
          <cell r="A4" t="str">
            <v>PROJE ADI (PROJECT NAME)</v>
          </cell>
        </row>
      </sheetData>
      <sheetData sheetId="788">
        <row r="4">
          <cell r="A4" t="str">
            <v>PROJE ADI (PROJECT NAME)</v>
          </cell>
        </row>
      </sheetData>
      <sheetData sheetId="789">
        <row r="4">
          <cell r="A4" t="str">
            <v>PROJE ADI (PROJECT NAME)</v>
          </cell>
        </row>
      </sheetData>
      <sheetData sheetId="790">
        <row r="4">
          <cell r="A4" t="str">
            <v>PROJE ADI (PROJECT NAME)</v>
          </cell>
        </row>
      </sheetData>
      <sheetData sheetId="791">
        <row r="4">
          <cell r="A4" t="str">
            <v>PROJE ADI (PROJECT NAME)</v>
          </cell>
        </row>
      </sheetData>
      <sheetData sheetId="792">
        <row r="4">
          <cell r="A4" t="str">
            <v>PROJE ADI (PROJECT NAME)</v>
          </cell>
        </row>
      </sheetData>
      <sheetData sheetId="793">
        <row r="4">
          <cell r="A4" t="str">
            <v>PROJE ADI (PROJECT NAME)</v>
          </cell>
        </row>
      </sheetData>
      <sheetData sheetId="794">
        <row r="4">
          <cell r="A4" t="str">
            <v>PROJE ADI (PROJECT NAME)</v>
          </cell>
        </row>
      </sheetData>
      <sheetData sheetId="795">
        <row r="4">
          <cell r="A4" t="str">
            <v>PROJE ADI (PROJECT NAME)</v>
          </cell>
        </row>
      </sheetData>
      <sheetData sheetId="796">
        <row r="4">
          <cell r="A4" t="str">
            <v>PROJE ADI 
(PROJECT NAME)</v>
          </cell>
        </row>
      </sheetData>
      <sheetData sheetId="797">
        <row r="4">
          <cell r="A4" t="str">
            <v>PROJE ADI 
(PROJECT NAME)</v>
          </cell>
        </row>
      </sheetData>
      <sheetData sheetId="798">
        <row r="4">
          <cell r="A4" t="str">
            <v>PROJE ADI 
(PROJECT NAME)</v>
          </cell>
        </row>
      </sheetData>
      <sheetData sheetId="799">
        <row r="4">
          <cell r="A4" t="str">
            <v>PROJE ADI 
(PROJECT NAME)</v>
          </cell>
        </row>
      </sheetData>
      <sheetData sheetId="800">
        <row r="4">
          <cell r="A4" t="str">
            <v>PROJE ADI 
(PROJECT NAME)</v>
          </cell>
        </row>
      </sheetData>
      <sheetData sheetId="801">
        <row r="4">
          <cell r="A4" t="str">
            <v>PROJE ADI (PROJECT NAME)</v>
          </cell>
        </row>
      </sheetData>
      <sheetData sheetId="802">
        <row r="4">
          <cell r="A4" t="str">
            <v>PROJE ADI (PROJECT NAME)</v>
          </cell>
        </row>
      </sheetData>
      <sheetData sheetId="803">
        <row r="4">
          <cell r="A4" t="str">
            <v>PROJE ADI (PROJECT NAME)</v>
          </cell>
        </row>
      </sheetData>
      <sheetData sheetId="804">
        <row r="4">
          <cell r="A4" t="str">
            <v>PROJE ADI 
(PROJECT NAME)</v>
          </cell>
        </row>
      </sheetData>
      <sheetData sheetId="805">
        <row r="4">
          <cell r="A4" t="str">
            <v>PROJE ADI 
(PROJECT NAME)</v>
          </cell>
        </row>
      </sheetData>
      <sheetData sheetId="806">
        <row r="4">
          <cell r="A4" t="str">
            <v>PROJE ADI 
(PROJECT NAME)</v>
          </cell>
        </row>
      </sheetData>
      <sheetData sheetId="807">
        <row r="4">
          <cell r="A4" t="str">
            <v>PROJE ADI 
(PROJECT NAME)</v>
          </cell>
        </row>
      </sheetData>
      <sheetData sheetId="808">
        <row r="4">
          <cell r="A4" t="str">
            <v>PROJE ADI 
(PROJECT NAME)</v>
          </cell>
        </row>
      </sheetData>
      <sheetData sheetId="809">
        <row r="4">
          <cell r="A4" t="str">
            <v>PROJE ADI (PROJECT NAME)</v>
          </cell>
        </row>
      </sheetData>
      <sheetData sheetId="810">
        <row r="4">
          <cell r="A4" t="str">
            <v>PROJE ADI 
(PROJECT NAME)</v>
          </cell>
        </row>
      </sheetData>
      <sheetData sheetId="811">
        <row r="4">
          <cell r="A4" t="str">
            <v>PROJE ADI (PROJECT NAME)</v>
          </cell>
        </row>
      </sheetData>
      <sheetData sheetId="812">
        <row r="4">
          <cell r="A4" t="str">
            <v>PROJE ADI (PROJECT NAME)</v>
          </cell>
        </row>
      </sheetData>
      <sheetData sheetId="813">
        <row r="4">
          <cell r="A4" t="str">
            <v>PROJE ADI (PROJECT NAME)</v>
          </cell>
        </row>
      </sheetData>
      <sheetData sheetId="814">
        <row r="4">
          <cell r="A4" t="str">
            <v>PROJE ADI (PROJECT NAME)</v>
          </cell>
        </row>
      </sheetData>
      <sheetData sheetId="815">
        <row r="4">
          <cell r="A4" t="str">
            <v>PROJE ADI (PROJECT NAME)</v>
          </cell>
        </row>
      </sheetData>
      <sheetData sheetId="816">
        <row r="4">
          <cell r="A4" t="str">
            <v>PROJE ADI (PROJECT NAME)</v>
          </cell>
        </row>
      </sheetData>
      <sheetData sheetId="817">
        <row r="4">
          <cell r="A4" t="str">
            <v>PROJE ADI (PROJECT NAME)</v>
          </cell>
        </row>
      </sheetData>
      <sheetData sheetId="818">
        <row r="4">
          <cell r="A4" t="str">
            <v>PROJE ADI (PROJECT NAME)</v>
          </cell>
        </row>
      </sheetData>
      <sheetData sheetId="819">
        <row r="4">
          <cell r="A4" t="str">
            <v>PROJE ADI (PROJECT NAME)</v>
          </cell>
        </row>
      </sheetData>
      <sheetData sheetId="820">
        <row r="4">
          <cell r="A4" t="str">
            <v>PROJE ADI (PROJECT NAME)</v>
          </cell>
        </row>
      </sheetData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>
        <row r="4">
          <cell r="A4" t="str">
            <v>PROJE ADI 
(PROJECT NAME)</v>
          </cell>
        </row>
      </sheetData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>
        <row r="4">
          <cell r="B4">
            <v>0</v>
          </cell>
        </row>
      </sheetData>
      <sheetData sheetId="854">
        <row r="4">
          <cell r="A4" t="str">
            <v>PROJE ADI (PROJECT NAME)</v>
          </cell>
        </row>
      </sheetData>
      <sheetData sheetId="855">
        <row r="4">
          <cell r="A4" t="str">
            <v>PROJE ADI (PROJECT NAME)</v>
          </cell>
        </row>
      </sheetData>
      <sheetData sheetId="856">
        <row r="4">
          <cell r="A4" t="str">
            <v>PROJE ADI (PROJECT NAME)</v>
          </cell>
        </row>
      </sheetData>
      <sheetData sheetId="857">
        <row r="4">
          <cell r="A4" t="str">
            <v>PROJE ADI 
(PROJECT NAME)</v>
          </cell>
        </row>
      </sheetData>
      <sheetData sheetId="858">
        <row r="4">
          <cell r="A4" t="str">
            <v>PROJE ADI (PROJECT NAME)</v>
          </cell>
        </row>
      </sheetData>
      <sheetData sheetId="859">
        <row r="4">
          <cell r="A4" t="str">
            <v>PROJE ADI (PROJECT NAME)</v>
          </cell>
        </row>
      </sheetData>
      <sheetData sheetId="860">
        <row r="4">
          <cell r="A4" t="str">
            <v>PROJE ADI (PROJECT NAME)</v>
          </cell>
        </row>
      </sheetData>
      <sheetData sheetId="861">
        <row r="4">
          <cell r="A4" t="str">
            <v>PROJE ADI (PROJECT NAME)</v>
          </cell>
        </row>
      </sheetData>
      <sheetData sheetId="862">
        <row r="4">
          <cell r="A4" t="str">
            <v>PROJE ADI (PROJECT NAME)</v>
          </cell>
        </row>
      </sheetData>
      <sheetData sheetId="863">
        <row r="4">
          <cell r="A4" t="str">
            <v>PROJE ADI (PROJECT NAME)</v>
          </cell>
        </row>
      </sheetData>
      <sheetData sheetId="864">
        <row r="4">
          <cell r="A4" t="str">
            <v>PROJE ADI 
(PROJECT NAME)</v>
          </cell>
        </row>
      </sheetData>
      <sheetData sheetId="865">
        <row r="4">
          <cell r="A4" t="str">
            <v>PROJE ADI 
(PROJECT NAME)</v>
          </cell>
        </row>
      </sheetData>
      <sheetData sheetId="866">
        <row r="4">
          <cell r="A4" t="str">
            <v>PROJE ADI (PROJECT NAME)</v>
          </cell>
        </row>
      </sheetData>
      <sheetData sheetId="867">
        <row r="4">
          <cell r="A4" t="str">
            <v>PROJE ADI 
(PROJECT NAME)</v>
          </cell>
        </row>
      </sheetData>
      <sheetData sheetId="868">
        <row r="4">
          <cell r="A4" t="str">
            <v>PROJE ADI 
(PROJECT NAME)</v>
          </cell>
        </row>
      </sheetData>
      <sheetData sheetId="869">
        <row r="4">
          <cell r="A4" t="str">
            <v>PROJE ADI 
(PROJECT NAME)</v>
          </cell>
        </row>
      </sheetData>
      <sheetData sheetId="870">
        <row r="4">
          <cell r="A4" t="str">
            <v>PROJE ADI (PROJECT NAME)</v>
          </cell>
        </row>
      </sheetData>
      <sheetData sheetId="871">
        <row r="4">
          <cell r="A4" t="str">
            <v>PROJE ADI 
(PROJECT NAME)</v>
          </cell>
        </row>
      </sheetData>
      <sheetData sheetId="872">
        <row r="4">
          <cell r="A4" t="str">
            <v>PROJE ADI (PROJECT NAME)</v>
          </cell>
        </row>
      </sheetData>
      <sheetData sheetId="873">
        <row r="4">
          <cell r="A4" t="str">
            <v>PROJE ADI 
(PROJECT NAME)</v>
          </cell>
        </row>
      </sheetData>
      <sheetData sheetId="874">
        <row r="4">
          <cell r="A4" t="str">
            <v>PROJE ADI 
(PROJECT NAME)</v>
          </cell>
        </row>
      </sheetData>
      <sheetData sheetId="875">
        <row r="4">
          <cell r="A4" t="str">
            <v>PROJE ADI 
(PROJECT NAME)</v>
          </cell>
        </row>
      </sheetData>
      <sheetData sheetId="876">
        <row r="4">
          <cell r="A4" t="str">
            <v>PROJE ADI 
(PROJECT NAME)</v>
          </cell>
        </row>
      </sheetData>
      <sheetData sheetId="877">
        <row r="4">
          <cell r="A4" t="str">
            <v>PROJE ADI 
(PROJECT NAME)</v>
          </cell>
        </row>
      </sheetData>
      <sheetData sheetId="878">
        <row r="4">
          <cell r="A4" t="str">
            <v>PROJE ADI 
(PROJECT NAME)</v>
          </cell>
        </row>
      </sheetData>
      <sheetData sheetId="879">
        <row r="4">
          <cell r="A4" t="str">
            <v>PROJE ADI (PROJECT NAME)</v>
          </cell>
        </row>
      </sheetData>
      <sheetData sheetId="880">
        <row r="4">
          <cell r="A4" t="str">
            <v>PROJE ADI 
(PROJECT NAME)</v>
          </cell>
        </row>
      </sheetData>
      <sheetData sheetId="881">
        <row r="4">
          <cell r="A4" t="str">
            <v>PROJE ADI 
(PROJECT NAME)</v>
          </cell>
        </row>
      </sheetData>
      <sheetData sheetId="882">
        <row r="4">
          <cell r="A4" t="str">
            <v>PROJE ADI 
(PROJECT NAME)</v>
          </cell>
        </row>
      </sheetData>
      <sheetData sheetId="883">
        <row r="4">
          <cell r="A4" t="str">
            <v>PROJE ADI (PROJECT NAME)</v>
          </cell>
        </row>
      </sheetData>
      <sheetData sheetId="884">
        <row r="4">
          <cell r="A4" t="str">
            <v>PROJE ADI 
(PROJECT NAME)</v>
          </cell>
        </row>
      </sheetData>
      <sheetData sheetId="885">
        <row r="4">
          <cell r="A4" t="str">
            <v>PROJE ADI 
(PROJECT NAME)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>
        <row r="4">
          <cell r="A4" t="str">
            <v>PROJE ADI 
(PROJECT NAME)</v>
          </cell>
        </row>
      </sheetData>
      <sheetData sheetId="904">
        <row r="4">
          <cell r="A4" t="str">
            <v>PROJE ADI 
(PROJECT NAME)</v>
          </cell>
        </row>
      </sheetData>
      <sheetData sheetId="905">
        <row r="4">
          <cell r="A4" t="str">
            <v>PROJE ADI 
(PROJECT NAME)</v>
          </cell>
        </row>
      </sheetData>
      <sheetData sheetId="906">
        <row r="4">
          <cell r="A4" t="str">
            <v>YAPIM İŞLERİ HAKEDİŞ RAPORU</v>
          </cell>
        </row>
      </sheetData>
      <sheetData sheetId="907">
        <row r="4">
          <cell r="A4" t="str">
            <v>PROJE ADI 
(PROJECT NAME)</v>
          </cell>
        </row>
      </sheetData>
      <sheetData sheetId="908">
        <row r="4">
          <cell r="A4" t="str">
            <v>PROJE ADI (PROJECT NAME)</v>
          </cell>
        </row>
      </sheetData>
      <sheetData sheetId="909">
        <row r="4">
          <cell r="A4" t="str">
            <v>YAPIM İŞLERİ HAKEDİŞ RAPORU</v>
          </cell>
        </row>
      </sheetData>
      <sheetData sheetId="910">
        <row r="4">
          <cell r="A4" t="str">
            <v>PROJE ADI (PROJECT NAME)</v>
          </cell>
        </row>
      </sheetData>
      <sheetData sheetId="911">
        <row r="4">
          <cell r="A4" t="str">
            <v>Dept:</v>
          </cell>
        </row>
      </sheetData>
      <sheetData sheetId="912">
        <row r="4">
          <cell r="A4" t="str">
            <v>PROJE ADI (PROJECT NAME)</v>
          </cell>
        </row>
      </sheetData>
      <sheetData sheetId="913">
        <row r="4">
          <cell r="A4" t="str">
            <v>YAPIM İŞLERİ HAKEDİŞ RAPORU</v>
          </cell>
        </row>
      </sheetData>
      <sheetData sheetId="914">
        <row r="4">
          <cell r="A4" t="str">
            <v>PROJE ADI (PROJECT NAME)</v>
          </cell>
        </row>
      </sheetData>
      <sheetData sheetId="915">
        <row r="4">
          <cell r="A4" t="str">
            <v>PROJE ADI 
(PROJECT NAME)</v>
          </cell>
        </row>
      </sheetData>
      <sheetData sheetId="916">
        <row r="4">
          <cell r="A4" t="str">
            <v>PROJE ADI (PROJECT NAME)</v>
          </cell>
        </row>
      </sheetData>
      <sheetData sheetId="917">
        <row r="4">
          <cell r="A4" t="str">
            <v>YAPIM İŞLERİ HAKEDİŞ RAPORU</v>
          </cell>
        </row>
      </sheetData>
      <sheetData sheetId="918">
        <row r="4">
          <cell r="A4" t="str">
            <v>PROJE ADI 
(PROJECT NAME)</v>
          </cell>
        </row>
      </sheetData>
      <sheetData sheetId="919">
        <row r="4">
          <cell r="A4" t="str">
            <v>YAPIM İŞLERİ HAKEDİŞ RAPORU</v>
          </cell>
        </row>
      </sheetData>
      <sheetData sheetId="920">
        <row r="4">
          <cell r="A4" t="str">
            <v>PROJE ADI (PROJECT NAME)</v>
          </cell>
        </row>
      </sheetData>
      <sheetData sheetId="921">
        <row r="4">
          <cell r="A4" t="str">
            <v>YAPIM İŞLERİ HAKEDİŞ RAPORU</v>
          </cell>
        </row>
      </sheetData>
      <sheetData sheetId="922">
        <row r="4">
          <cell r="A4" t="str">
            <v>PROJE ADI (PROJECT NAME)</v>
          </cell>
        </row>
      </sheetData>
      <sheetData sheetId="923">
        <row r="4">
          <cell r="A4" t="str">
            <v>YAPIM İŞLERİ HAKEDİŞ RAPORU</v>
          </cell>
        </row>
      </sheetData>
      <sheetData sheetId="924">
        <row r="4">
          <cell r="A4" t="str">
            <v>PROJE ADI (PROJECT NAME)</v>
          </cell>
        </row>
      </sheetData>
      <sheetData sheetId="925">
        <row r="4">
          <cell r="A4" t="str">
            <v>PROJE ADI (PROJECT NAME)</v>
          </cell>
        </row>
      </sheetData>
      <sheetData sheetId="926">
        <row r="4">
          <cell r="A4" t="str">
            <v>YAPIM İŞLERİ HAKEDİŞ RAPORU</v>
          </cell>
        </row>
      </sheetData>
      <sheetData sheetId="927">
        <row r="4">
          <cell r="A4" t="str">
            <v>YAPIM İŞLERİ HAKEDİŞ RAPORU</v>
          </cell>
        </row>
      </sheetData>
      <sheetData sheetId="928">
        <row r="4">
          <cell r="A4" t="str">
            <v>PROJE ADI (PROJECT NAME)</v>
          </cell>
        </row>
      </sheetData>
      <sheetData sheetId="929">
        <row r="4">
          <cell r="A4" t="str">
            <v>PROJE ADI (PROJECT NAME)</v>
          </cell>
        </row>
      </sheetData>
      <sheetData sheetId="930">
        <row r="4">
          <cell r="A4" t="str">
            <v>PROJE ADI (PROJECT NAME)</v>
          </cell>
        </row>
      </sheetData>
      <sheetData sheetId="931">
        <row r="4">
          <cell r="A4" t="str">
            <v>YAPIM İŞLERİ HAKEDİŞ RAPORU</v>
          </cell>
        </row>
      </sheetData>
      <sheetData sheetId="932">
        <row r="4">
          <cell r="A4" t="str">
            <v>PROJE ADI (PROJECT NAME)</v>
          </cell>
        </row>
      </sheetData>
      <sheetData sheetId="933">
        <row r="4">
          <cell r="A4" t="str">
            <v>PROJE ADI (PROJECT NAME)</v>
          </cell>
        </row>
      </sheetData>
      <sheetData sheetId="934">
        <row r="4">
          <cell r="A4" t="str">
            <v>PROJE ADI (PROJECT NAME)</v>
          </cell>
        </row>
      </sheetData>
      <sheetData sheetId="935">
        <row r="4">
          <cell r="A4" t="str">
            <v>PROJE ADI (PROJECT NAME)</v>
          </cell>
        </row>
      </sheetData>
      <sheetData sheetId="936">
        <row r="4">
          <cell r="A4" t="str">
            <v>PROJE ADI (PROJECT NAME)</v>
          </cell>
        </row>
      </sheetData>
      <sheetData sheetId="937">
        <row r="4">
          <cell r="A4" t="str">
            <v>PROJE ADI (PROJECT NAME)</v>
          </cell>
        </row>
      </sheetData>
      <sheetData sheetId="938">
        <row r="4">
          <cell r="A4" t="str">
            <v>PROJE ADI (PROJECT NAME)</v>
          </cell>
        </row>
      </sheetData>
      <sheetData sheetId="939">
        <row r="4">
          <cell r="A4" t="str">
            <v>PROJE ADI (PROJECT NAME)</v>
          </cell>
        </row>
      </sheetData>
      <sheetData sheetId="940">
        <row r="4">
          <cell r="A4" t="str">
            <v>YAPIM İŞLERİ HAKEDİŞ RAPORU</v>
          </cell>
        </row>
      </sheetData>
      <sheetData sheetId="941">
        <row r="4">
          <cell r="A4" t="str">
            <v>PROJE ADI 
(PROJECT NAME)</v>
          </cell>
        </row>
      </sheetData>
      <sheetData sheetId="942">
        <row r="4">
          <cell r="A4" t="str">
            <v>PROJE ADI (PROJECT NAME)</v>
          </cell>
        </row>
      </sheetData>
      <sheetData sheetId="943">
        <row r="4">
          <cell r="A4" t="str">
            <v>PROJE ADI (PROJECT NAME)</v>
          </cell>
        </row>
      </sheetData>
      <sheetData sheetId="944">
        <row r="4">
          <cell r="A4" t="str">
            <v>PROJE ADI (PROJECT NAME)</v>
          </cell>
        </row>
      </sheetData>
      <sheetData sheetId="945">
        <row r="4">
          <cell r="A4" t="str">
            <v>PROJE ADI (PROJECT NAME)</v>
          </cell>
        </row>
      </sheetData>
      <sheetData sheetId="946">
        <row r="4">
          <cell r="A4" t="str">
            <v>PROJE ADI (PROJECT NAME)</v>
          </cell>
        </row>
      </sheetData>
      <sheetData sheetId="947">
        <row r="4">
          <cell r="A4" t="str">
            <v>PROJE ADI (PROJECT NAME)</v>
          </cell>
        </row>
      </sheetData>
      <sheetData sheetId="948">
        <row r="4">
          <cell r="A4" t="str">
            <v>PROJE ADI (PROJECT NAME)</v>
          </cell>
        </row>
      </sheetData>
      <sheetData sheetId="949">
        <row r="4">
          <cell r="A4" t="str">
            <v>PROJE ADI (PROJECT NAME)</v>
          </cell>
        </row>
      </sheetData>
      <sheetData sheetId="950">
        <row r="4">
          <cell r="A4" t="str">
            <v>PROJE ADI (PROJECT NAME)</v>
          </cell>
        </row>
      </sheetData>
      <sheetData sheetId="951">
        <row r="4">
          <cell r="A4">
            <v>0</v>
          </cell>
        </row>
      </sheetData>
      <sheetData sheetId="952">
        <row r="4">
          <cell r="A4" t="str">
            <v>PROJE ADI (PROJECT NAME)</v>
          </cell>
        </row>
      </sheetData>
      <sheetData sheetId="953">
        <row r="4">
          <cell r="A4" t="str">
            <v>PROJE ADI (PROJECT NAME)</v>
          </cell>
        </row>
      </sheetData>
      <sheetData sheetId="954">
        <row r="4">
          <cell r="A4" t="str">
            <v>PROJE ADI (PROJECT NAME)</v>
          </cell>
        </row>
      </sheetData>
      <sheetData sheetId="955">
        <row r="4">
          <cell r="A4" t="str">
            <v>YAPIM İŞLERİ HAKEDİŞ RAPORU</v>
          </cell>
        </row>
      </sheetData>
      <sheetData sheetId="956">
        <row r="4">
          <cell r="A4" t="str">
            <v>PROJE ADI (PROJECT NAME)</v>
          </cell>
        </row>
      </sheetData>
      <sheetData sheetId="957">
        <row r="4">
          <cell r="A4" t="str">
            <v>YAPIM İŞLERİ HAKEDİŞ RAPORU</v>
          </cell>
        </row>
      </sheetData>
      <sheetData sheetId="958">
        <row r="4">
          <cell r="A4" t="str">
            <v>PROJE ADI (PROJECT NAME)</v>
          </cell>
        </row>
      </sheetData>
      <sheetData sheetId="959">
        <row r="4">
          <cell r="A4" t="str">
            <v>YAPIM İŞLERİ HAKEDİŞ RAPORU</v>
          </cell>
        </row>
      </sheetData>
      <sheetData sheetId="960">
        <row r="4">
          <cell r="A4" t="str">
            <v>PROJE ADI (PROJECT NAME)</v>
          </cell>
        </row>
      </sheetData>
      <sheetData sheetId="961">
        <row r="4">
          <cell r="A4" t="str">
            <v>PROJE ADI (PROJECT NAME)</v>
          </cell>
        </row>
      </sheetData>
      <sheetData sheetId="962">
        <row r="4">
          <cell r="A4" t="str">
            <v>PROJE ADI (PROJECT NAME)</v>
          </cell>
        </row>
      </sheetData>
      <sheetData sheetId="963">
        <row r="4">
          <cell r="A4" t="str">
            <v>PROJE ADI (PROJECT NAME)</v>
          </cell>
        </row>
      </sheetData>
      <sheetData sheetId="964">
        <row r="4">
          <cell r="A4" t="str">
            <v>PROJE ADI (PROJECT NAME)</v>
          </cell>
        </row>
      </sheetData>
      <sheetData sheetId="965">
        <row r="4">
          <cell r="A4" t="str">
            <v>PROJE ADI (PROJECT NAME)</v>
          </cell>
        </row>
      </sheetData>
      <sheetData sheetId="966">
        <row r="4">
          <cell r="A4" t="str">
            <v>PROJE ADI (PROJECT NAME)</v>
          </cell>
        </row>
      </sheetData>
      <sheetData sheetId="967">
        <row r="4">
          <cell r="A4" t="str">
            <v>PROJE ADI (PROJECT NAME)</v>
          </cell>
        </row>
      </sheetData>
      <sheetData sheetId="968">
        <row r="4">
          <cell r="A4" t="str">
            <v>YAPIM İŞLERİ HAKEDİŞ RAPORU</v>
          </cell>
        </row>
      </sheetData>
      <sheetData sheetId="969">
        <row r="4">
          <cell r="A4" t="str">
            <v>PROJE ADI (PROJECT NAME)</v>
          </cell>
        </row>
      </sheetData>
      <sheetData sheetId="970">
        <row r="4">
          <cell r="A4" t="str">
            <v>PROJE ADI (PROJECT NAME)</v>
          </cell>
        </row>
      </sheetData>
      <sheetData sheetId="971">
        <row r="4">
          <cell r="A4" t="str">
            <v>YAPIM İŞLERİ HAKEDİŞ RAPORU</v>
          </cell>
        </row>
      </sheetData>
      <sheetData sheetId="972">
        <row r="4">
          <cell r="A4" t="str">
            <v>PROJE ADI (PROJECT NAME)</v>
          </cell>
        </row>
      </sheetData>
      <sheetData sheetId="973">
        <row r="4">
          <cell r="A4" t="str">
            <v>PROJE ADI (PROJECT NAME)</v>
          </cell>
        </row>
      </sheetData>
      <sheetData sheetId="974">
        <row r="4">
          <cell r="A4" t="str">
            <v>PROJE ADI (PROJECT NAME)</v>
          </cell>
        </row>
      </sheetData>
      <sheetData sheetId="975">
        <row r="4">
          <cell r="A4" t="str">
            <v>PROJE ADI (PROJECT NAME)</v>
          </cell>
        </row>
      </sheetData>
      <sheetData sheetId="976">
        <row r="4">
          <cell r="A4" t="str">
            <v>PROJE ADI (PROJECT NAME)</v>
          </cell>
        </row>
      </sheetData>
      <sheetData sheetId="977">
        <row r="4">
          <cell r="A4" t="str">
            <v>PROJE ADI (PROJECT NAME)</v>
          </cell>
        </row>
      </sheetData>
      <sheetData sheetId="978">
        <row r="4">
          <cell r="A4" t="str">
            <v>PROJE ADI (PROJECT NAME)</v>
          </cell>
        </row>
      </sheetData>
      <sheetData sheetId="979">
        <row r="4">
          <cell r="A4" t="str">
            <v>PROJE ADI (PROJECT NAME)</v>
          </cell>
        </row>
      </sheetData>
      <sheetData sheetId="980">
        <row r="4">
          <cell r="A4" t="str">
            <v>PROJE ADI (PROJECT NAME)</v>
          </cell>
        </row>
      </sheetData>
      <sheetData sheetId="981">
        <row r="4">
          <cell r="A4" t="str">
            <v>PROJE ADI (PROJECT NAME)</v>
          </cell>
        </row>
      </sheetData>
      <sheetData sheetId="982">
        <row r="4">
          <cell r="A4" t="str">
            <v>YAPIM İŞLERİ HAKEDİŞ RAPORU</v>
          </cell>
        </row>
      </sheetData>
      <sheetData sheetId="983">
        <row r="4">
          <cell r="A4" t="str">
            <v>YAPIM İŞLERİ HAKEDİŞ RAPORU</v>
          </cell>
        </row>
      </sheetData>
      <sheetData sheetId="984">
        <row r="4">
          <cell r="A4" t="str">
            <v>YAPIM İŞLERİ HAKEDİŞ RAPORU</v>
          </cell>
        </row>
      </sheetData>
      <sheetData sheetId="985">
        <row r="4">
          <cell r="A4" t="str">
            <v>PROJE ADI (PROJECT NAME)</v>
          </cell>
        </row>
      </sheetData>
      <sheetData sheetId="986">
        <row r="4">
          <cell r="A4" t="str">
            <v>PROJE ADI (PROJECT NAME)</v>
          </cell>
        </row>
      </sheetData>
      <sheetData sheetId="987">
        <row r="4">
          <cell r="A4" t="str">
            <v>PROJE ADI (PROJECT NAME)</v>
          </cell>
        </row>
      </sheetData>
      <sheetData sheetId="988">
        <row r="4">
          <cell r="A4" t="str">
            <v>PROJE ADI (PROJECT NAME)</v>
          </cell>
        </row>
      </sheetData>
      <sheetData sheetId="989">
        <row r="4">
          <cell r="A4" t="str">
            <v>PROJE ADI (PROJECT NAME)</v>
          </cell>
        </row>
      </sheetData>
      <sheetData sheetId="990">
        <row r="4">
          <cell r="A4" t="str">
            <v>PROJE ADI (PROJECT NAME)</v>
          </cell>
        </row>
      </sheetData>
      <sheetData sheetId="991">
        <row r="4">
          <cell r="A4" t="str">
            <v>PROJE ADI (PROJECT NAME)</v>
          </cell>
        </row>
      </sheetData>
      <sheetData sheetId="992">
        <row r="4">
          <cell r="A4" t="str">
            <v>YAPIM İŞLERİ HAKEDİŞ RAPORU</v>
          </cell>
        </row>
      </sheetData>
      <sheetData sheetId="993">
        <row r="4">
          <cell r="A4" t="str">
            <v>PROJE ADI (PROJECT NAME)</v>
          </cell>
        </row>
      </sheetData>
      <sheetData sheetId="994">
        <row r="4">
          <cell r="A4" t="str">
            <v>YAPIM İŞLERİ HAKEDİŞ RAPORU</v>
          </cell>
        </row>
      </sheetData>
      <sheetData sheetId="995">
        <row r="4">
          <cell r="A4" t="str">
            <v>PROJE ADI 
(PROJECT NAME)</v>
          </cell>
        </row>
      </sheetData>
      <sheetData sheetId="996">
        <row r="4">
          <cell r="A4" t="str">
            <v>PROJE ADI 
(PROJECT NAME)</v>
          </cell>
        </row>
      </sheetData>
      <sheetData sheetId="997">
        <row r="4">
          <cell r="A4" t="str">
            <v>PROJE ADI 
(PROJECT NAME)</v>
          </cell>
        </row>
      </sheetData>
      <sheetData sheetId="998">
        <row r="4">
          <cell r="A4" t="str">
            <v>PROJE ADI 
(PROJECT NAME)</v>
          </cell>
        </row>
      </sheetData>
      <sheetData sheetId="999">
        <row r="4">
          <cell r="A4" t="str">
            <v>PROJE ADI 
(PROJECT NAME)</v>
          </cell>
        </row>
      </sheetData>
      <sheetData sheetId="1000">
        <row r="4">
          <cell r="A4" t="str">
            <v>PROJE ADI (PROJECT NAME)</v>
          </cell>
        </row>
      </sheetData>
      <sheetData sheetId="1001">
        <row r="4">
          <cell r="A4" t="str">
            <v>PROJE ADI (PROJECT NAME)</v>
          </cell>
        </row>
      </sheetData>
      <sheetData sheetId="1002">
        <row r="4">
          <cell r="A4" t="str">
            <v>PROJE ADI (PROJECT NAME)</v>
          </cell>
        </row>
      </sheetData>
      <sheetData sheetId="1003">
        <row r="4">
          <cell r="A4" t="str">
            <v>PROJE ADI (PROJECT NAME)</v>
          </cell>
        </row>
      </sheetData>
      <sheetData sheetId="1004">
        <row r="4">
          <cell r="A4" t="str">
            <v>YAPIM İŞLERİ HAKEDİŞ RAPORU</v>
          </cell>
        </row>
      </sheetData>
      <sheetData sheetId="1005">
        <row r="4">
          <cell r="A4" t="str">
            <v>YAPIM İŞLERİ HAKEDİŞ RAPORU</v>
          </cell>
        </row>
      </sheetData>
      <sheetData sheetId="1006">
        <row r="4">
          <cell r="A4" t="str">
            <v>PROJE ADI (PROJECT NAME)</v>
          </cell>
        </row>
      </sheetData>
      <sheetData sheetId="1007">
        <row r="4">
          <cell r="A4" t="str">
            <v>PROJE ADI 
(PROJECT NAME)</v>
          </cell>
        </row>
      </sheetData>
      <sheetData sheetId="1008">
        <row r="4">
          <cell r="A4" t="str">
            <v>PROJE ADI 
(PROJECT NAME)</v>
          </cell>
        </row>
      </sheetData>
      <sheetData sheetId="1009">
        <row r="4">
          <cell r="A4" t="str">
            <v>PROJE ADI 
(PROJECT NAME)</v>
          </cell>
        </row>
      </sheetData>
      <sheetData sheetId="1010">
        <row r="4">
          <cell r="A4" t="str">
            <v>PROJE ADI (PROJECT NAME)</v>
          </cell>
        </row>
      </sheetData>
      <sheetData sheetId="1011">
        <row r="4">
          <cell r="A4" t="str">
            <v>PROJE ADI (PROJECT NAME)</v>
          </cell>
        </row>
      </sheetData>
      <sheetData sheetId="1012">
        <row r="4">
          <cell r="A4" t="str">
            <v>PROJE ADI (PROJECT NAME)</v>
          </cell>
        </row>
      </sheetData>
      <sheetData sheetId="1013">
        <row r="4">
          <cell r="A4" t="str">
            <v>PROJE ADI (PROJECT NAME)</v>
          </cell>
        </row>
      </sheetData>
      <sheetData sheetId="1014">
        <row r="4">
          <cell r="A4" t="str">
            <v>PROJE ADI (PROJECT NAME)</v>
          </cell>
        </row>
      </sheetData>
      <sheetData sheetId="1015">
        <row r="4">
          <cell r="A4" t="str">
            <v>PROJE ADI (PROJECT NAME)</v>
          </cell>
        </row>
      </sheetData>
      <sheetData sheetId="1016">
        <row r="4">
          <cell r="A4">
            <v>0</v>
          </cell>
        </row>
      </sheetData>
      <sheetData sheetId="1017">
        <row r="4">
          <cell r="A4" t="str">
            <v>PROJE ADI (PROJECT NAME)</v>
          </cell>
        </row>
      </sheetData>
      <sheetData sheetId="1018">
        <row r="4">
          <cell r="A4" t="str">
            <v>PROJE ADI (PROJECT NAME)</v>
          </cell>
        </row>
      </sheetData>
      <sheetData sheetId="1019">
        <row r="4">
          <cell r="A4" t="str">
            <v>PROJE ADI (PROJECT NAME)</v>
          </cell>
        </row>
      </sheetData>
      <sheetData sheetId="1020">
        <row r="4">
          <cell r="A4" t="str">
            <v>PROJE ADI (PROJECT NAME)</v>
          </cell>
        </row>
      </sheetData>
      <sheetData sheetId="1021">
        <row r="4">
          <cell r="A4" t="str">
            <v>PROJE ADI 
(PROJECT NAME)</v>
          </cell>
        </row>
      </sheetData>
      <sheetData sheetId="1022">
        <row r="4">
          <cell r="A4" t="str">
            <v>PROJE ADI (PROJECT NAME)</v>
          </cell>
        </row>
      </sheetData>
      <sheetData sheetId="1023">
        <row r="4">
          <cell r="A4" t="str">
            <v>YAPIM İŞLERİ HAKEDİŞ RAPORU</v>
          </cell>
        </row>
      </sheetData>
      <sheetData sheetId="1024">
        <row r="4">
          <cell r="A4" t="str">
            <v>PROJE ADI 
(PROJECT NAME)</v>
          </cell>
        </row>
      </sheetData>
      <sheetData sheetId="1025">
        <row r="4">
          <cell r="A4" t="str">
            <v>PROJE ADI (PROJECT NAME)</v>
          </cell>
        </row>
      </sheetData>
      <sheetData sheetId="1026">
        <row r="4">
          <cell r="A4" t="str">
            <v>PROJE ADI (PROJECT NAME)</v>
          </cell>
        </row>
      </sheetData>
      <sheetData sheetId="1027">
        <row r="4">
          <cell r="A4" t="str">
            <v>PROJE ADI (PROJECT NAME)</v>
          </cell>
        </row>
      </sheetData>
      <sheetData sheetId="1028">
        <row r="4">
          <cell r="A4">
            <v>0</v>
          </cell>
        </row>
      </sheetData>
      <sheetData sheetId="1029">
        <row r="4">
          <cell r="A4" t="str">
            <v>PROJE ADI (PROJECT NAME)</v>
          </cell>
        </row>
      </sheetData>
      <sheetData sheetId="1030">
        <row r="4">
          <cell r="A4" t="str">
            <v>PROJE ADI (PROJECT NAME)</v>
          </cell>
        </row>
      </sheetData>
      <sheetData sheetId="1031">
        <row r="4">
          <cell r="A4" t="str">
            <v>YAPIM İŞLERİ HAKEDİŞ RAPORU</v>
          </cell>
        </row>
      </sheetData>
      <sheetData sheetId="1032">
        <row r="4">
          <cell r="A4" t="str">
            <v>YAPIM İŞLERİ HAKEDİŞ RAPORU</v>
          </cell>
        </row>
      </sheetData>
      <sheetData sheetId="1033">
        <row r="4">
          <cell r="A4" t="str">
            <v>PROJE ADI (PROJECT NAME)</v>
          </cell>
        </row>
      </sheetData>
      <sheetData sheetId="1034">
        <row r="4">
          <cell r="A4" t="str">
            <v>PROJE ADI (PROJECT NAME)</v>
          </cell>
        </row>
      </sheetData>
      <sheetData sheetId="1035">
        <row r="4">
          <cell r="A4" t="str">
            <v>PROJE ADI 
(PROJECT NAME)</v>
          </cell>
        </row>
      </sheetData>
      <sheetData sheetId="1036">
        <row r="4">
          <cell r="A4" t="str">
            <v>PROJE ADI 
(PROJECT NAME)</v>
          </cell>
        </row>
      </sheetData>
      <sheetData sheetId="1037">
        <row r="4">
          <cell r="A4" t="str">
            <v>PROJE ADI 
(PROJECT NAME)</v>
          </cell>
        </row>
      </sheetData>
      <sheetData sheetId="1038">
        <row r="4">
          <cell r="A4" t="str">
            <v>Dept:</v>
          </cell>
        </row>
      </sheetData>
      <sheetData sheetId="1039">
        <row r="4">
          <cell r="A4" t="str">
            <v>PROJE ADI 
(PROJECT NAME)</v>
          </cell>
        </row>
      </sheetData>
      <sheetData sheetId="1040">
        <row r="4">
          <cell r="A4" t="str">
            <v>PROJE ADI (PROJECT NAME)</v>
          </cell>
        </row>
      </sheetData>
      <sheetData sheetId="1041">
        <row r="4">
          <cell r="A4" t="str">
            <v>Dept:</v>
          </cell>
        </row>
      </sheetData>
      <sheetData sheetId="1042">
        <row r="4">
          <cell r="A4" t="str">
            <v>PROJE ADI (PROJECT NAME)</v>
          </cell>
        </row>
      </sheetData>
      <sheetData sheetId="1043">
        <row r="4">
          <cell r="A4" t="str">
            <v>Dept:</v>
          </cell>
        </row>
      </sheetData>
      <sheetData sheetId="1044">
        <row r="4">
          <cell r="A4" t="str">
            <v>YAPIM İŞLERİ HAKEDİŞ RAPORU</v>
          </cell>
        </row>
      </sheetData>
      <sheetData sheetId="1045">
        <row r="4">
          <cell r="A4" t="str">
            <v>PROJE ADI 
(PROJECT NAME)</v>
          </cell>
        </row>
      </sheetData>
      <sheetData sheetId="1046">
        <row r="4">
          <cell r="A4" t="str">
            <v>PROJE ADI 
(PROJECT NAME)</v>
          </cell>
        </row>
      </sheetData>
      <sheetData sheetId="1047">
        <row r="4">
          <cell r="A4" t="str">
            <v>PROJE ADI 
(PROJECT NAME)</v>
          </cell>
        </row>
      </sheetData>
      <sheetData sheetId="1048">
        <row r="4">
          <cell r="A4" t="str">
            <v>PROJE ADI 
(PROJECT NAME)</v>
          </cell>
        </row>
      </sheetData>
      <sheetData sheetId="1049">
        <row r="4">
          <cell r="A4" t="str">
            <v>PROJE ADI 
(PROJECT NAME)</v>
          </cell>
        </row>
      </sheetData>
      <sheetData sheetId="1050">
        <row r="4">
          <cell r="A4" t="str">
            <v>PROJE ADI 
(PROJECT NAME)</v>
          </cell>
        </row>
      </sheetData>
      <sheetData sheetId="1051">
        <row r="4">
          <cell r="A4" t="str">
            <v>PROJE ADI (PROJECT NAME)</v>
          </cell>
        </row>
      </sheetData>
      <sheetData sheetId="1052">
        <row r="4">
          <cell r="A4" t="str">
            <v>YAPIM İŞLERİ HAKEDİŞ RAPORU</v>
          </cell>
        </row>
      </sheetData>
      <sheetData sheetId="1053">
        <row r="4">
          <cell r="A4" t="str">
            <v>Dept:</v>
          </cell>
        </row>
      </sheetData>
      <sheetData sheetId="1054">
        <row r="4">
          <cell r="A4" t="str">
            <v>YAPIM İŞLERİ HAKEDİŞ RAPORU</v>
          </cell>
        </row>
      </sheetData>
      <sheetData sheetId="1055">
        <row r="4">
          <cell r="A4" t="str">
            <v>YAPIM İŞLERİ HAKEDİŞ RAPORU</v>
          </cell>
        </row>
      </sheetData>
      <sheetData sheetId="1056">
        <row r="4">
          <cell r="A4" t="str">
            <v>PROJE ADI (PROJECT NAME)</v>
          </cell>
        </row>
      </sheetData>
      <sheetData sheetId="1057">
        <row r="4">
          <cell r="A4" t="str">
            <v>PROJE ADI 
(PROJECT NAME)</v>
          </cell>
        </row>
      </sheetData>
      <sheetData sheetId="1058">
        <row r="4">
          <cell r="A4" t="str">
            <v>PROJE ADI (PROJECT NAME)</v>
          </cell>
        </row>
      </sheetData>
      <sheetData sheetId="1059">
        <row r="4">
          <cell r="A4" t="str">
            <v>YAPIM İŞLERİ HAKEDİŞ RAPORU</v>
          </cell>
        </row>
      </sheetData>
      <sheetData sheetId="1060">
        <row r="4">
          <cell r="A4" t="str">
            <v>PROJE ADI 
(PROJECT NAME)</v>
          </cell>
        </row>
      </sheetData>
      <sheetData sheetId="1061">
        <row r="4">
          <cell r="A4" t="str">
            <v>YAPIM İŞLERİ HAKEDİŞ RAPORU</v>
          </cell>
        </row>
      </sheetData>
      <sheetData sheetId="1062">
        <row r="4">
          <cell r="A4" t="str">
            <v>YAPIM İŞLERİ HAKEDİŞ RAPORU</v>
          </cell>
        </row>
      </sheetData>
      <sheetData sheetId="1063">
        <row r="4">
          <cell r="A4" t="str">
            <v>YAPIM İŞLERİ HAKEDİŞ RAPORU</v>
          </cell>
        </row>
      </sheetData>
      <sheetData sheetId="1064">
        <row r="4">
          <cell r="A4" t="str">
            <v>YAPIM İŞLERİ HAKEDİŞ RAPORU</v>
          </cell>
        </row>
      </sheetData>
      <sheetData sheetId="1065">
        <row r="4">
          <cell r="A4">
            <v>0</v>
          </cell>
        </row>
      </sheetData>
      <sheetData sheetId="1066">
        <row r="4">
          <cell r="A4" t="str">
            <v>PROJE ADI (PROJECT NAME)</v>
          </cell>
        </row>
      </sheetData>
      <sheetData sheetId="1067">
        <row r="4">
          <cell r="A4" t="str">
            <v>PROJE ADI (PROJECT NAME)</v>
          </cell>
        </row>
      </sheetData>
      <sheetData sheetId="1068">
        <row r="4">
          <cell r="A4" t="str">
            <v>YAPIM İŞLERİ HAKEDİŞ RAPORU</v>
          </cell>
        </row>
      </sheetData>
      <sheetData sheetId="1069">
        <row r="4">
          <cell r="A4" t="str">
            <v>YAPIM İŞLERİ HAKEDİŞ RAPORU</v>
          </cell>
        </row>
      </sheetData>
      <sheetData sheetId="1070">
        <row r="4">
          <cell r="A4" t="str">
            <v>PROJE ADI (PROJECT NAME)</v>
          </cell>
        </row>
      </sheetData>
      <sheetData sheetId="1071">
        <row r="4">
          <cell r="A4" t="str">
            <v>PROJE ADI (PROJECT NAME)</v>
          </cell>
        </row>
      </sheetData>
      <sheetData sheetId="1072">
        <row r="4">
          <cell r="B4">
            <v>0</v>
          </cell>
        </row>
      </sheetData>
      <sheetData sheetId="1073">
        <row r="4">
          <cell r="B4">
            <v>0</v>
          </cell>
        </row>
      </sheetData>
      <sheetData sheetId="1074">
        <row r="4">
          <cell r="A4" t="str">
            <v>YAPIM İŞLERİ HAKEDİŞ RAPORU</v>
          </cell>
        </row>
      </sheetData>
      <sheetData sheetId="1075">
        <row r="4">
          <cell r="B4">
            <v>0</v>
          </cell>
        </row>
      </sheetData>
      <sheetData sheetId="1076"/>
      <sheetData sheetId="1077">
        <row r="4">
          <cell r="B4">
            <v>0</v>
          </cell>
        </row>
      </sheetData>
      <sheetData sheetId="1078">
        <row r="4">
          <cell r="B4">
            <v>0</v>
          </cell>
        </row>
      </sheetData>
      <sheetData sheetId="1079">
        <row r="4">
          <cell r="B4">
            <v>0</v>
          </cell>
        </row>
      </sheetData>
      <sheetData sheetId="1080">
        <row r="4">
          <cell r="B4">
            <v>0</v>
          </cell>
        </row>
      </sheetData>
      <sheetData sheetId="1081" refreshError="1"/>
      <sheetData sheetId="1082" refreshError="1"/>
      <sheetData sheetId="1083" refreshError="1"/>
      <sheetData sheetId="1084" refreshError="1"/>
      <sheetData sheetId="1085">
        <row r="4">
          <cell r="A4" t="str">
            <v>YAPIM İŞLERİ HAKEDİŞ RAPORU</v>
          </cell>
        </row>
      </sheetData>
      <sheetData sheetId="1086">
        <row r="4">
          <cell r="A4" t="str">
            <v>YAPIM İŞLERİ HAKEDİŞ RAPORU</v>
          </cell>
        </row>
      </sheetData>
      <sheetData sheetId="1087">
        <row r="4">
          <cell r="A4" t="str">
            <v>PROJE ADI (PROJECT NAME)</v>
          </cell>
        </row>
      </sheetData>
      <sheetData sheetId="1088">
        <row r="4">
          <cell r="A4" t="str">
            <v>PROJE ADI (PROJECT NAME)</v>
          </cell>
        </row>
      </sheetData>
      <sheetData sheetId="1089">
        <row r="4">
          <cell r="A4" t="str">
            <v>PROJE ADI (PROJECT NAME)</v>
          </cell>
        </row>
      </sheetData>
      <sheetData sheetId="1090">
        <row r="4">
          <cell r="A4" t="str">
            <v>PROJE ADI (PROJECT NAME)</v>
          </cell>
        </row>
      </sheetData>
      <sheetData sheetId="1091">
        <row r="4">
          <cell r="A4" t="str">
            <v>PROJE ADI (PROJECT NAME)</v>
          </cell>
        </row>
      </sheetData>
      <sheetData sheetId="1092">
        <row r="4">
          <cell r="A4" t="str">
            <v>PROJE ADI (PROJECT NAME)</v>
          </cell>
        </row>
      </sheetData>
      <sheetData sheetId="1093">
        <row r="4">
          <cell r="A4" t="str">
            <v>PROJE ADI (PROJECT NAME)</v>
          </cell>
        </row>
      </sheetData>
      <sheetData sheetId="1094">
        <row r="4">
          <cell r="A4" t="str">
            <v>PROJE ADI (PROJECT NAME)</v>
          </cell>
        </row>
      </sheetData>
      <sheetData sheetId="1095">
        <row r="4">
          <cell r="A4" t="str">
            <v>PROJE ADI (PROJECT NAME)</v>
          </cell>
        </row>
      </sheetData>
      <sheetData sheetId="1096">
        <row r="4">
          <cell r="A4" t="str">
            <v>YAPIM İŞLERİ HAKEDİŞ RAPORU</v>
          </cell>
        </row>
      </sheetData>
      <sheetData sheetId="1097">
        <row r="4">
          <cell r="A4" t="str">
            <v>YAPIM İŞLERİ HAKEDİŞ RAPORU</v>
          </cell>
        </row>
      </sheetData>
      <sheetData sheetId="1098">
        <row r="4">
          <cell r="A4" t="str">
            <v>YAPIM İŞLERİ HAKEDİŞ RAPORU</v>
          </cell>
        </row>
      </sheetData>
      <sheetData sheetId="1099">
        <row r="4">
          <cell r="A4" t="str">
            <v>YAPIM İŞLERİ HAKEDİŞ RAPORU</v>
          </cell>
        </row>
      </sheetData>
      <sheetData sheetId="1100">
        <row r="4">
          <cell r="A4" t="str">
            <v>PROJE ADI (PROJECT NAME)</v>
          </cell>
        </row>
      </sheetData>
      <sheetData sheetId="1101">
        <row r="4">
          <cell r="A4" t="str">
            <v>PROJE ADI (PROJECT NAME)</v>
          </cell>
        </row>
      </sheetData>
      <sheetData sheetId="1102">
        <row r="4">
          <cell r="A4" t="str">
            <v>PROJE ADI (PROJECT NAME)</v>
          </cell>
        </row>
      </sheetData>
      <sheetData sheetId="1103">
        <row r="4">
          <cell r="A4" t="str">
            <v>PROJE ADI (PROJECT NAME)</v>
          </cell>
        </row>
      </sheetData>
      <sheetData sheetId="1104">
        <row r="4">
          <cell r="A4" t="str">
            <v>PROJE ADI (PROJECT NAME)</v>
          </cell>
        </row>
      </sheetData>
      <sheetData sheetId="1105">
        <row r="4">
          <cell r="A4" t="str">
            <v>PROJE ADI (PROJECT NAME)</v>
          </cell>
        </row>
      </sheetData>
      <sheetData sheetId="1106">
        <row r="4">
          <cell r="A4" t="str">
            <v>YAPIM İŞLERİ HAKEDİŞ RAPORU</v>
          </cell>
        </row>
      </sheetData>
      <sheetData sheetId="1107">
        <row r="4">
          <cell r="A4" t="str">
            <v>YAPIM İŞLERİ HAKEDİŞ RAPORU</v>
          </cell>
        </row>
      </sheetData>
      <sheetData sheetId="1108">
        <row r="4">
          <cell r="A4" t="str">
            <v>PROJE ADI (PROJECT NAME)</v>
          </cell>
        </row>
      </sheetData>
      <sheetData sheetId="1109">
        <row r="4">
          <cell r="A4" t="str">
            <v>PROJE ADI (PROJECT NAME)</v>
          </cell>
        </row>
      </sheetData>
      <sheetData sheetId="1110">
        <row r="4">
          <cell r="A4" t="str">
            <v>PROJE ADI (PROJECT NAME)</v>
          </cell>
        </row>
      </sheetData>
      <sheetData sheetId="1111">
        <row r="4">
          <cell r="A4" t="str">
            <v>PROJE ADI (PROJECT NAME)</v>
          </cell>
        </row>
      </sheetData>
      <sheetData sheetId="1112">
        <row r="4">
          <cell r="A4" t="str">
            <v>PROJE ADI (PROJECT NAME)</v>
          </cell>
        </row>
      </sheetData>
      <sheetData sheetId="1113">
        <row r="4">
          <cell r="A4" t="str">
            <v>PROJE ADI (PROJECT NAME)</v>
          </cell>
        </row>
      </sheetData>
      <sheetData sheetId="1114">
        <row r="4">
          <cell r="A4" t="str">
            <v>PROJE ADI (PROJECT NAME)</v>
          </cell>
        </row>
      </sheetData>
      <sheetData sheetId="1115">
        <row r="4">
          <cell r="A4" t="str">
            <v>PROJE ADI 
(PROJECT NAME)</v>
          </cell>
        </row>
      </sheetData>
      <sheetData sheetId="1116">
        <row r="4">
          <cell r="A4" t="str">
            <v>PROJE ADI 
(PROJECT NAME)</v>
          </cell>
        </row>
      </sheetData>
      <sheetData sheetId="1117">
        <row r="4">
          <cell r="A4" t="str">
            <v>PROJE ADI 
(PROJECT NAME)</v>
          </cell>
        </row>
      </sheetData>
      <sheetData sheetId="1118">
        <row r="4">
          <cell r="A4" t="str">
            <v>PROJE ADI (PROJECT NAME)</v>
          </cell>
        </row>
      </sheetData>
      <sheetData sheetId="1119">
        <row r="4">
          <cell r="A4" t="str">
            <v>YAPIM İŞLERİ HAKEDİŞ RAPORU</v>
          </cell>
        </row>
      </sheetData>
      <sheetData sheetId="1120">
        <row r="4">
          <cell r="A4" t="str">
            <v>YAPIM İŞLERİ HAKEDİŞ RAPORU</v>
          </cell>
        </row>
      </sheetData>
      <sheetData sheetId="1121">
        <row r="4">
          <cell r="A4" t="str">
            <v>PROJE ADI (PROJECT NAME)</v>
          </cell>
        </row>
      </sheetData>
      <sheetData sheetId="1122">
        <row r="4">
          <cell r="A4" t="str">
            <v>PROJE ADI (PROJECT NAME)</v>
          </cell>
        </row>
      </sheetData>
      <sheetData sheetId="1123">
        <row r="4">
          <cell r="A4" t="str">
            <v>PROJE ADI (PROJECT NAME)</v>
          </cell>
        </row>
      </sheetData>
      <sheetData sheetId="1124">
        <row r="4">
          <cell r="A4" t="str">
            <v>PROJE ADI (PROJECT NAME)</v>
          </cell>
        </row>
      </sheetData>
      <sheetData sheetId="1125">
        <row r="4">
          <cell r="A4" t="str">
            <v>PROJE ADI (PROJECT NAME)</v>
          </cell>
        </row>
      </sheetData>
      <sheetData sheetId="1126">
        <row r="4">
          <cell r="A4" t="str">
            <v>PROJE ADI (PROJECT NAME)</v>
          </cell>
        </row>
      </sheetData>
      <sheetData sheetId="1127">
        <row r="4">
          <cell r="A4" t="str">
            <v>PROJE ADI (PROJECT NAME)</v>
          </cell>
        </row>
      </sheetData>
      <sheetData sheetId="1128">
        <row r="4">
          <cell r="A4" t="str">
            <v>PROJE ADI (PROJECT NAME)</v>
          </cell>
        </row>
      </sheetData>
      <sheetData sheetId="1129">
        <row r="4">
          <cell r="A4" t="str">
            <v>PROJE ADI (PROJECT NAME)</v>
          </cell>
        </row>
      </sheetData>
      <sheetData sheetId="1130">
        <row r="4">
          <cell r="A4">
            <v>0</v>
          </cell>
        </row>
      </sheetData>
      <sheetData sheetId="1131">
        <row r="4">
          <cell r="A4" t="str">
            <v>PROJE ADI (PROJECT NAME)</v>
          </cell>
        </row>
      </sheetData>
      <sheetData sheetId="1132">
        <row r="4">
          <cell r="A4" t="str">
            <v>PROJE ADI (PROJECT NAME)</v>
          </cell>
        </row>
      </sheetData>
      <sheetData sheetId="1133" refreshError="1"/>
      <sheetData sheetId="1134" refreshError="1"/>
      <sheetData sheetId="1135">
        <row r="4">
          <cell r="A4" t="str">
            <v>YAPIM İŞLERİ HAKEDİŞ RAPORU</v>
          </cell>
        </row>
      </sheetData>
      <sheetData sheetId="1136" refreshError="1"/>
      <sheetData sheetId="1137">
        <row r="4">
          <cell r="A4" t="str">
            <v>PROJE ADI (PROJECT NAME)</v>
          </cell>
        </row>
      </sheetData>
      <sheetData sheetId="1138">
        <row r="4">
          <cell r="A4" t="str">
            <v>PROJE ADI (PROJECT NAME)</v>
          </cell>
        </row>
      </sheetData>
      <sheetData sheetId="1139">
        <row r="4">
          <cell r="A4" t="str">
            <v>PROJE ADI (PROJECT NAME)</v>
          </cell>
        </row>
      </sheetData>
      <sheetData sheetId="1140">
        <row r="4">
          <cell r="A4" t="str">
            <v>PROJE ADI (PROJECT NAME)</v>
          </cell>
        </row>
      </sheetData>
      <sheetData sheetId="1141">
        <row r="4">
          <cell r="A4" t="str">
            <v>PROJE ADI (PROJECT NAME)</v>
          </cell>
        </row>
      </sheetData>
      <sheetData sheetId="1142">
        <row r="4">
          <cell r="A4" t="str">
            <v>PROJE ADI (PROJECT NAME)</v>
          </cell>
        </row>
      </sheetData>
      <sheetData sheetId="1143">
        <row r="4">
          <cell r="A4" t="str">
            <v>PROJE ADI (PROJECT NAME)</v>
          </cell>
        </row>
      </sheetData>
      <sheetData sheetId="1144">
        <row r="4">
          <cell r="A4" t="str">
            <v>PROJE ADI (PROJECT NAME)</v>
          </cell>
        </row>
      </sheetData>
      <sheetData sheetId="1145">
        <row r="4">
          <cell r="A4" t="str">
            <v>PROJE ADI (PROJECT NAME)</v>
          </cell>
        </row>
      </sheetData>
      <sheetData sheetId="1146">
        <row r="4">
          <cell r="A4" t="str">
            <v>PROJE ADI 
(PROJECT NAME)</v>
          </cell>
        </row>
      </sheetData>
      <sheetData sheetId="1147">
        <row r="4">
          <cell r="A4" t="str">
            <v>Dept:</v>
          </cell>
        </row>
      </sheetData>
      <sheetData sheetId="1148">
        <row r="4">
          <cell r="A4" t="str">
            <v>PROJE ADI 
(PROJECT NAME)</v>
          </cell>
        </row>
      </sheetData>
      <sheetData sheetId="1149">
        <row r="4">
          <cell r="A4" t="str">
            <v>PROJE ADI 
(PROJECT NAME)</v>
          </cell>
        </row>
      </sheetData>
      <sheetData sheetId="1150">
        <row r="4">
          <cell r="A4" t="str">
            <v>PROJE ADI 
(PROJECT NAME)</v>
          </cell>
        </row>
      </sheetData>
      <sheetData sheetId="1151">
        <row r="4">
          <cell r="A4" t="str">
            <v>PROJE ADI 
(PROJECT NAME)</v>
          </cell>
        </row>
      </sheetData>
      <sheetData sheetId="1152">
        <row r="4">
          <cell r="A4" t="str">
            <v>PROJE ADI 
(PROJECT NAME)</v>
          </cell>
        </row>
      </sheetData>
      <sheetData sheetId="1153">
        <row r="4">
          <cell r="A4" t="str">
            <v>Dept:</v>
          </cell>
        </row>
      </sheetData>
      <sheetData sheetId="1154">
        <row r="4">
          <cell r="A4" t="str">
            <v>Dept:</v>
          </cell>
        </row>
      </sheetData>
      <sheetData sheetId="1155">
        <row r="4">
          <cell r="A4" t="str">
            <v>Dept:</v>
          </cell>
        </row>
      </sheetData>
      <sheetData sheetId="1156">
        <row r="4">
          <cell r="A4" t="str">
            <v>Dept:</v>
          </cell>
        </row>
      </sheetData>
      <sheetData sheetId="1157">
        <row r="4">
          <cell r="A4" t="str">
            <v>PROJE ADI (PROJECT NAME)</v>
          </cell>
        </row>
      </sheetData>
      <sheetData sheetId="1158">
        <row r="4">
          <cell r="A4" t="str">
            <v>PROJE ADI (PROJECT NAME)</v>
          </cell>
        </row>
      </sheetData>
      <sheetData sheetId="1159">
        <row r="4">
          <cell r="A4" t="str">
            <v>PROJE ADI 
(PROJECT NAME)</v>
          </cell>
        </row>
      </sheetData>
      <sheetData sheetId="1160">
        <row r="4">
          <cell r="A4" t="str">
            <v>PROJE ADI 
(PROJECT NAME)</v>
          </cell>
        </row>
      </sheetData>
      <sheetData sheetId="1161">
        <row r="4">
          <cell r="A4" t="str">
            <v>PROJE ADI 
(PROJECT NAME)</v>
          </cell>
        </row>
      </sheetData>
      <sheetData sheetId="1162">
        <row r="4">
          <cell r="A4" t="str">
            <v>PROJE ADI 
(PROJECT NAME)</v>
          </cell>
        </row>
      </sheetData>
      <sheetData sheetId="1163">
        <row r="4">
          <cell r="A4" t="str">
            <v>PROJE ADI 
(PROJECT NAME)</v>
          </cell>
        </row>
      </sheetData>
      <sheetData sheetId="1164">
        <row r="4">
          <cell r="A4" t="str">
            <v>YAPIM İŞLERİ HAKEDİŞ RAPORU</v>
          </cell>
        </row>
      </sheetData>
      <sheetData sheetId="1165">
        <row r="4">
          <cell r="A4" t="str">
            <v>PROJE ADI 
(PROJECT NAME)</v>
          </cell>
        </row>
      </sheetData>
      <sheetData sheetId="1166">
        <row r="4">
          <cell r="A4" t="str">
            <v>YAPIM İŞLERİ HAKEDİŞ RAPORU</v>
          </cell>
        </row>
      </sheetData>
      <sheetData sheetId="1167">
        <row r="4">
          <cell r="A4" t="str">
            <v>PROJE ADI (PROJECT NAME)</v>
          </cell>
        </row>
      </sheetData>
      <sheetData sheetId="1168">
        <row r="4">
          <cell r="A4" t="str">
            <v>PROJE ADI (PROJECT NAME)</v>
          </cell>
        </row>
      </sheetData>
      <sheetData sheetId="1169">
        <row r="4">
          <cell r="A4" t="str">
            <v>PROJE ADI (PROJECT NAME)</v>
          </cell>
        </row>
      </sheetData>
      <sheetData sheetId="1170">
        <row r="4">
          <cell r="A4" t="str">
            <v>PROJE ADI (PROJECT NAME)</v>
          </cell>
        </row>
      </sheetData>
      <sheetData sheetId="1171">
        <row r="4">
          <cell r="A4" t="str">
            <v>YAPIM İŞLERİ HAKEDİŞ RAPORU</v>
          </cell>
        </row>
      </sheetData>
      <sheetData sheetId="1172">
        <row r="4">
          <cell r="A4" t="str">
            <v>YAPIM İŞLERİ HAKEDİŞ RAPORU</v>
          </cell>
        </row>
      </sheetData>
      <sheetData sheetId="1173">
        <row r="4">
          <cell r="A4" t="str">
            <v>YAPIM İŞLERİ HAKEDİŞ RAPORU</v>
          </cell>
        </row>
      </sheetData>
      <sheetData sheetId="1174">
        <row r="4">
          <cell r="A4" t="str">
            <v>PROJE ADI 
(PROJECT NAME)</v>
          </cell>
        </row>
      </sheetData>
      <sheetData sheetId="1175">
        <row r="4">
          <cell r="A4" t="str">
            <v>PROJE ADI 
(PROJECT NAME)</v>
          </cell>
        </row>
      </sheetData>
      <sheetData sheetId="1176">
        <row r="4">
          <cell r="A4" t="str">
            <v>PROJE ADI 
(PROJECT NAME)</v>
          </cell>
        </row>
      </sheetData>
      <sheetData sheetId="1177">
        <row r="4">
          <cell r="A4" t="str">
            <v>YAPIM İŞLERİ HAKEDİŞ RAPORU</v>
          </cell>
        </row>
      </sheetData>
      <sheetData sheetId="1178">
        <row r="4">
          <cell r="A4" t="str">
            <v>PROJE ADI (PROJECT NAME)</v>
          </cell>
        </row>
      </sheetData>
      <sheetData sheetId="1179">
        <row r="4">
          <cell r="A4" t="str">
            <v>YAPIM İŞLERİ HAKEDİŞ RAPORU</v>
          </cell>
        </row>
      </sheetData>
      <sheetData sheetId="1180">
        <row r="4">
          <cell r="A4" t="str">
            <v>PROJE ADI (PROJECT NAME)</v>
          </cell>
        </row>
      </sheetData>
      <sheetData sheetId="1181">
        <row r="4">
          <cell r="A4" t="str">
            <v>PROJE ADI (PROJECT NAME)</v>
          </cell>
        </row>
      </sheetData>
      <sheetData sheetId="1182">
        <row r="4">
          <cell r="A4" t="str">
            <v>PROJE ADI (PROJECT NAME)</v>
          </cell>
        </row>
      </sheetData>
      <sheetData sheetId="1183">
        <row r="4">
          <cell r="A4" t="str">
            <v>YAPIM İŞLERİ HAKEDİŞ RAPORU</v>
          </cell>
        </row>
      </sheetData>
      <sheetData sheetId="1184">
        <row r="4">
          <cell r="A4" t="str">
            <v>YAPIM İŞLERİ HAKEDİŞ RAPORU</v>
          </cell>
        </row>
      </sheetData>
      <sheetData sheetId="1185">
        <row r="4">
          <cell r="A4" t="str">
            <v>YAPIM İŞLERİ HAKEDİŞ RAPORU</v>
          </cell>
        </row>
      </sheetData>
      <sheetData sheetId="1186">
        <row r="4">
          <cell r="A4" t="str">
            <v>PROJE ADI 
(PROJECT NAME)</v>
          </cell>
        </row>
      </sheetData>
      <sheetData sheetId="1187">
        <row r="4">
          <cell r="A4" t="str">
            <v>PROJE ADI 
(PROJECT NAME)</v>
          </cell>
        </row>
      </sheetData>
      <sheetData sheetId="1188">
        <row r="4">
          <cell r="A4" t="str">
            <v>PROJE ADI 
(PROJECT NAME)</v>
          </cell>
        </row>
      </sheetData>
      <sheetData sheetId="1189">
        <row r="4">
          <cell r="A4" t="str">
            <v>PROJE ADI 
(PROJECT NAME)</v>
          </cell>
        </row>
      </sheetData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>
        <row r="4">
          <cell r="A4" t="str">
            <v>YAPIM İŞLERİ HAKEDİŞ RAPORU</v>
          </cell>
        </row>
      </sheetData>
      <sheetData sheetId="1205">
        <row r="4">
          <cell r="A4" t="str">
            <v>YAPIM İŞLERİ HAKEDİŞ RAPORU</v>
          </cell>
        </row>
      </sheetData>
      <sheetData sheetId="1206">
        <row r="4">
          <cell r="A4">
            <v>0</v>
          </cell>
        </row>
      </sheetData>
      <sheetData sheetId="1207">
        <row r="4">
          <cell r="A4" t="str">
            <v>PROJE ADI (PROJECT NAME)</v>
          </cell>
        </row>
      </sheetData>
      <sheetData sheetId="1208">
        <row r="4">
          <cell r="A4" t="str">
            <v>PROJE ADI (PROJECT NAME)</v>
          </cell>
        </row>
      </sheetData>
      <sheetData sheetId="1209">
        <row r="4">
          <cell r="A4" t="str">
            <v>YAPIM İŞLERİ HAKEDİŞ RAPORU</v>
          </cell>
        </row>
      </sheetData>
      <sheetData sheetId="1210">
        <row r="4">
          <cell r="A4" t="str">
            <v>PROJE ADI (PROJECT NAME)</v>
          </cell>
        </row>
      </sheetData>
      <sheetData sheetId="1211">
        <row r="4">
          <cell r="A4" t="str">
            <v>PROJE ADI (PROJECT NAME)</v>
          </cell>
        </row>
      </sheetData>
      <sheetData sheetId="1212">
        <row r="4">
          <cell r="A4" t="str">
            <v>PROJE ADI (PROJECT NAME)</v>
          </cell>
        </row>
      </sheetData>
      <sheetData sheetId="1213">
        <row r="4">
          <cell r="A4" t="str">
            <v>PROJE ADI 
(PROJECT NAME)</v>
          </cell>
        </row>
      </sheetData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>
        <row r="4">
          <cell r="A4" t="str">
            <v>YAPIM İŞLERİ HAKEDİŞ RAPORU</v>
          </cell>
        </row>
      </sheetData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>
        <row r="4">
          <cell r="C4">
            <v>36130</v>
          </cell>
        </row>
      </sheetData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>
        <row r="4">
          <cell r="A4" t="str">
            <v>YAPIM İŞLERİ HAKEDİŞ RAPORU</v>
          </cell>
        </row>
      </sheetData>
      <sheetData sheetId="1324"/>
      <sheetData sheetId="1325">
        <row r="4">
          <cell r="A4" t="str">
            <v>YAPIM İŞLERİ HAKEDİŞ RAPORU</v>
          </cell>
        </row>
      </sheetData>
      <sheetData sheetId="1326"/>
      <sheetData sheetId="1327"/>
      <sheetData sheetId="1328"/>
      <sheetData sheetId="1329">
        <row r="4">
          <cell r="A4" t="str">
            <v>YAPIM İŞLERİ HAKEDİŞ RAPORU</v>
          </cell>
        </row>
      </sheetData>
      <sheetData sheetId="1330"/>
      <sheetData sheetId="1331">
        <row r="4">
          <cell r="A4" t="str">
            <v>YAPIM İŞLERİ HAKEDİŞ RAPORU</v>
          </cell>
        </row>
      </sheetData>
      <sheetData sheetId="1332"/>
      <sheetData sheetId="1333">
        <row r="4">
          <cell r="A4" t="str">
            <v>YAPIM İŞLERİ HAKEDİŞ RAPORU</v>
          </cell>
        </row>
      </sheetData>
      <sheetData sheetId="1334"/>
      <sheetData sheetId="1335">
        <row r="4">
          <cell r="A4" t="str">
            <v>YAPIM İŞLERİ HAKEDİŞ RAPORU</v>
          </cell>
        </row>
      </sheetData>
      <sheetData sheetId="1336"/>
      <sheetData sheetId="1337">
        <row r="4">
          <cell r="A4" t="str">
            <v>YAPIM İŞLERİ HAKEDİŞ RAPORU</v>
          </cell>
        </row>
      </sheetData>
      <sheetData sheetId="1338"/>
      <sheetData sheetId="1339">
        <row r="4">
          <cell r="A4" t="str">
            <v>YAPIM İŞLERİ HAKEDİŞ RAPORU</v>
          </cell>
        </row>
      </sheetData>
      <sheetData sheetId="1340"/>
      <sheetData sheetId="1341">
        <row r="6">
          <cell r="B6">
            <v>0</v>
          </cell>
        </row>
      </sheetData>
      <sheetData sheetId="1342"/>
      <sheetData sheetId="1343">
        <row r="6">
          <cell r="B6">
            <v>0</v>
          </cell>
        </row>
      </sheetData>
      <sheetData sheetId="1344"/>
      <sheetData sheetId="1345">
        <row r="4">
          <cell r="A4" t="str">
            <v>YAPIM İŞLERİ HAKEDİŞ RAPORU</v>
          </cell>
        </row>
      </sheetData>
      <sheetData sheetId="1346">
        <row r="4">
          <cell r="A4" t="str">
            <v>YAPIM İŞLERİ HAKEDİŞ RAPORU</v>
          </cell>
        </row>
      </sheetData>
      <sheetData sheetId="1347">
        <row r="6">
          <cell r="B6">
            <v>0</v>
          </cell>
        </row>
      </sheetData>
      <sheetData sheetId="1348">
        <row r="6">
          <cell r="B6">
            <v>0</v>
          </cell>
        </row>
      </sheetData>
      <sheetData sheetId="1349">
        <row r="6">
          <cell r="B6">
            <v>0</v>
          </cell>
        </row>
      </sheetData>
      <sheetData sheetId="1350">
        <row r="6">
          <cell r="B6">
            <v>0</v>
          </cell>
        </row>
      </sheetData>
      <sheetData sheetId="1351"/>
      <sheetData sheetId="1352">
        <row r="4">
          <cell r="A4" t="str">
            <v>YAPIM İŞLERİ HAKEDİŞ RAPORU</v>
          </cell>
        </row>
      </sheetData>
      <sheetData sheetId="1353"/>
      <sheetData sheetId="1354">
        <row r="6">
          <cell r="B6">
            <v>0</v>
          </cell>
        </row>
      </sheetData>
      <sheetData sheetId="1355"/>
      <sheetData sheetId="1356">
        <row r="6">
          <cell r="B6">
            <v>0</v>
          </cell>
        </row>
      </sheetData>
      <sheetData sheetId="1357"/>
      <sheetData sheetId="1358">
        <row r="4">
          <cell r="A4" t="str">
            <v>YAPIM İŞLERİ HAKEDİŞ RAPORU</v>
          </cell>
        </row>
      </sheetData>
      <sheetData sheetId="1359">
        <row r="4">
          <cell r="A4" t="str">
            <v>Dept:</v>
          </cell>
        </row>
      </sheetData>
      <sheetData sheetId="1360">
        <row r="6">
          <cell r="B6">
            <v>0</v>
          </cell>
        </row>
      </sheetData>
      <sheetData sheetId="1361"/>
      <sheetData sheetId="1362">
        <row r="6">
          <cell r="B6">
            <v>0</v>
          </cell>
        </row>
      </sheetData>
      <sheetData sheetId="1363"/>
      <sheetData sheetId="1364"/>
      <sheetData sheetId="1365">
        <row r="4">
          <cell r="A4" t="str">
            <v>Dept:</v>
          </cell>
        </row>
      </sheetData>
      <sheetData sheetId="1366"/>
      <sheetData sheetId="1367"/>
      <sheetData sheetId="1368"/>
      <sheetData sheetId="1369"/>
      <sheetData sheetId="1370"/>
      <sheetData sheetId="1371">
        <row r="4">
          <cell r="A4" t="str">
            <v>Dept:</v>
          </cell>
        </row>
      </sheetData>
      <sheetData sheetId="1372"/>
      <sheetData sheetId="1373"/>
      <sheetData sheetId="1374"/>
      <sheetData sheetId="1375"/>
      <sheetData sheetId="1376"/>
      <sheetData sheetId="1377">
        <row r="6">
          <cell r="B6">
            <v>0</v>
          </cell>
        </row>
      </sheetData>
      <sheetData sheetId="1378">
        <row r="4">
          <cell r="A4" t="str">
            <v>Dept:</v>
          </cell>
        </row>
      </sheetData>
      <sheetData sheetId="1379"/>
      <sheetData sheetId="1380"/>
      <sheetData sheetId="1381"/>
      <sheetData sheetId="1382"/>
      <sheetData sheetId="1383"/>
      <sheetData sheetId="1384">
        <row r="4">
          <cell r="A4" t="str">
            <v>Dept:</v>
          </cell>
        </row>
      </sheetData>
      <sheetData sheetId="1385"/>
      <sheetData sheetId="1386"/>
      <sheetData sheetId="1387"/>
      <sheetData sheetId="1388"/>
      <sheetData sheetId="1389"/>
      <sheetData sheetId="1390">
        <row r="4">
          <cell r="A4" t="str">
            <v>Dept:</v>
          </cell>
        </row>
      </sheetData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RT"/>
      <sheetName val="ESCON"/>
      <sheetName val="SCOPE"/>
      <sheetName val="MAKER"/>
      <sheetName val="BQ"/>
      <sheetName val="TABLO-3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Kapak"/>
      <sheetName val="Rapor Kapsamı"/>
      <sheetName val="PM_Raporu"/>
      <sheetName val="Proje Hakkında Bilgiler"/>
      <sheetName val="Proje Prog Deg Özeti"/>
      <sheetName val="FaaliyetDeg"/>
      <sheetName val="Finansal tamamlanma Eğrisi"/>
      <sheetName val="Fiziksel tamamlanma Eğrisi"/>
      <sheetName val="Butce Degerlendirme Ozeti"/>
      <sheetName val="Dahili İstihkak Raporu"/>
      <sheetName val="Ambar"/>
      <sheetName val="Nakit Akım Tablosu"/>
      <sheetName val="Bekleyen Alacaklar Tablosu"/>
      <sheetName val="Bekleyen Borclar"/>
      <sheetName val="Personel Durum Ozeti"/>
      <sheetName val="Personel Maliyet Özeti USD"/>
      <sheetName val="Degisiklik"/>
      <sheetName val="emniyet"/>
      <sheetName val="ESCON"/>
      <sheetName val="산근"/>
      <sheetName val="Rapor_Kapsamı"/>
      <sheetName val="Proje_Hakkında_Bilgiler"/>
      <sheetName val="Proje_Prog_Deg_Özeti"/>
      <sheetName val="Finansal_tamamlanma_Eğrisi"/>
      <sheetName val="Fiziksel_tamamlanma_Eğrisi"/>
      <sheetName val="Butce_Degerlendirme_Ozeti"/>
      <sheetName val="Dahili_İstihkak_Raporu"/>
      <sheetName val="Nakit_Akım_Tablosu"/>
      <sheetName val="Bekleyen_Alacaklar_Tablosu"/>
      <sheetName val="Bekleyen_Borclar"/>
      <sheetName val="Personel_Durum_Ozeti"/>
      <sheetName val="Personel_Maliyet_Özeti_USD"/>
      <sheetName val="BFK2003"/>
      <sheetName val="İLK YAP."/>
      <sheetName val="OPR01_proje_monthly"/>
      <sheetName val="TABLO-3"/>
      <sheetName val="HUD YOLU DUVAR 8 MT"/>
      <sheetName val="Ambar Çıkışları"/>
      <sheetName val="ÖZET"/>
      <sheetName val="ANALIZ"/>
      <sheetName val="Rapor_Kapsamı1"/>
      <sheetName val="Proje_Hakkında_Bilgiler1"/>
      <sheetName val="Proje_Prog_Deg_Özeti1"/>
      <sheetName val="Finansal_tamamlanma_Eğrisi1"/>
      <sheetName val="Fiziksel_tamamlanma_Eğrisi1"/>
      <sheetName val="Butce_Degerlendirme_Ozeti1"/>
      <sheetName val="Dahili_İstihkak_Raporu1"/>
      <sheetName val="Nakit_Akım_Tablosu1"/>
      <sheetName val="Bekleyen_Alacaklar_Tablosu1"/>
      <sheetName val="Bekleyen_Borclar1"/>
      <sheetName val="Personel_Durum_Ozeti1"/>
      <sheetName val="Personel_Maliyet_Özeti_USD1"/>
      <sheetName val="ИТОГ_old"/>
      <sheetName val="Data"/>
      <sheetName val="Sheet2"/>
      <sheetName val="Rapor data"/>
      <sheetName val="sal"/>
      <sheetName val="YBF - ATAKON - POLİMEKS"/>
      <sheetName val="YBF ÖZET miktarlı"/>
      <sheetName val="YBF151117 - YBFAY KARŞILAŞTIRMA"/>
      <sheetName val="Yardımcı Malz. Analizi"/>
      <sheetName val="YBF-001"/>
      <sheetName val="YBF-002"/>
      <sheetName val="YBF-003"/>
      <sheetName val="YBF-004"/>
      <sheetName val="YBF-005"/>
      <sheetName val="YBF-006"/>
      <sheetName val="YBF-007"/>
      <sheetName val="YBF-008"/>
      <sheetName val="YBF-009"/>
      <sheetName val="YBF-010"/>
      <sheetName val="YBF-011"/>
      <sheetName val="YBF-012"/>
      <sheetName val="YBF-013"/>
      <sheetName val="YBF-014"/>
      <sheetName val="YBF-015"/>
      <sheetName val="YBF-016"/>
      <sheetName val="YBF-017"/>
      <sheetName val="YBF-018"/>
      <sheetName val="YBF-019"/>
      <sheetName val="YBF-020"/>
      <sheetName val="YBF-021"/>
      <sheetName val="YBF-022"/>
      <sheetName val="YBF-023"/>
      <sheetName val="YBF-024"/>
      <sheetName val="YBF-025"/>
      <sheetName val="YBF-026"/>
      <sheetName val="YBF-027"/>
      <sheetName val="YBF-028"/>
      <sheetName val="YBF-029"/>
      <sheetName val="YBF-030"/>
      <sheetName val="YBF-031"/>
      <sheetName val="YBF-032"/>
      <sheetName val="YBF-033"/>
      <sheetName val="YBF-034"/>
      <sheetName val="YBF-035"/>
      <sheetName val="YBF-036"/>
      <sheetName val="YBF-037"/>
      <sheetName val="YBF-038"/>
      <sheetName val="YBF-039"/>
      <sheetName val="YBF-040"/>
      <sheetName val="YBF-041"/>
      <sheetName val="YBF-042"/>
      <sheetName val="YBF-043"/>
      <sheetName val="YBF-044"/>
      <sheetName val="YBF-045"/>
      <sheetName val="YBF-046"/>
      <sheetName val="YBF-047"/>
      <sheetName val="YBF-048"/>
      <sheetName val="YBF-049"/>
      <sheetName val="YBF-050"/>
      <sheetName val="YBF-051 - A"/>
      <sheetName val="YBF-052 - A"/>
      <sheetName val="YBF-053 - A"/>
      <sheetName val="YBF-054 - A"/>
      <sheetName val="YBF-051"/>
      <sheetName val="YBF-052"/>
      <sheetName val="YBF-053"/>
      <sheetName val="YBF-054"/>
      <sheetName val="YBF-055"/>
      <sheetName val="YBF-056"/>
      <sheetName val="YBF-057"/>
      <sheetName val="YBF-058"/>
      <sheetName val="YBF-059"/>
      <sheetName val="YBF-060"/>
      <sheetName val="YBF-061"/>
      <sheetName val="YBF-062"/>
      <sheetName val="YBF-063"/>
      <sheetName val="YBF-064"/>
      <sheetName val="YBF-065"/>
      <sheetName val="YBF-066"/>
      <sheetName val="YBF-067"/>
      <sheetName val="YBF-068"/>
      <sheetName val="YBF-069"/>
      <sheetName val="YBF-070"/>
      <sheetName val="YBF-071"/>
      <sheetName val="YBF-072"/>
      <sheetName val="YBF-073"/>
      <sheetName val="YBF-074"/>
      <sheetName val="YBF-075"/>
      <sheetName val="YBF-076"/>
      <sheetName val="YBF-077"/>
      <sheetName val="YBF-078"/>
      <sheetName val="YBF-079"/>
      <sheetName val="YBF-080"/>
      <sheetName val="YBF-081"/>
      <sheetName val="YBF-082"/>
      <sheetName val="YBF-083"/>
      <sheetName val="YBF-084"/>
      <sheetName val="YBF-085"/>
      <sheetName val="YBF-086"/>
      <sheetName val="YBF-087"/>
      <sheetName val="YBF-088"/>
      <sheetName val="YBF-089"/>
      <sheetName val="YBF-090"/>
      <sheetName val="YBF-091"/>
      <sheetName val="YBF-092"/>
      <sheetName val="YBF-093"/>
      <sheetName val="YBF-094"/>
      <sheetName val="YBF-095"/>
      <sheetName val="YBF-096"/>
      <sheetName val="YBF-097"/>
      <sheetName val="YBF-092 - A"/>
      <sheetName val="YBF-093 - A"/>
      <sheetName val="YBF-094 - A"/>
      <sheetName val="YBF-095 -A "/>
      <sheetName val="YBF-096 - A"/>
      <sheetName val="YBF-097 - A"/>
      <sheetName val="YBF-098 - A"/>
      <sheetName val="YBF-098"/>
      <sheetName val="YBF-099"/>
      <sheetName val="YBF-100"/>
      <sheetName val="YBF-101"/>
      <sheetName val="YBF-102"/>
      <sheetName val="YBF-103"/>
      <sheetName val="YBF-104"/>
      <sheetName val="YBF-105"/>
      <sheetName val="YBF-106"/>
      <sheetName val="YBF-107"/>
      <sheetName val="YBF-108"/>
      <sheetName val="YBF-109"/>
      <sheetName val="YBF-110"/>
      <sheetName val="YBF-111"/>
      <sheetName val="YBF-112"/>
      <sheetName val="YBF-113"/>
      <sheetName val="YBF-114"/>
      <sheetName val="YBF-115"/>
      <sheetName val="YBF-116"/>
      <sheetName val="YBF-117"/>
      <sheetName val="YBF-118"/>
      <sheetName val="YBF-119"/>
      <sheetName val="YBF-120"/>
      <sheetName val="YBF-121"/>
      <sheetName val="YBF-122"/>
      <sheetName val="YBF-123"/>
      <sheetName val="YBF-124"/>
      <sheetName val="YBF-125"/>
      <sheetName val="YBF-126"/>
      <sheetName val="YBF-127"/>
      <sheetName val="YBF-128"/>
      <sheetName val="YBF-129"/>
      <sheetName val="YBF-130"/>
      <sheetName val="YBF-131"/>
      <sheetName val="YBF-132"/>
      <sheetName val="YBF-133"/>
      <sheetName val="YBF-134"/>
      <sheetName val="YBF-135"/>
      <sheetName val="YBF-136"/>
      <sheetName val="YBF-137"/>
      <sheetName val="YBF-138"/>
      <sheetName val="YBF-139"/>
      <sheetName val="YBF-140"/>
      <sheetName val="YBF-141"/>
      <sheetName val="YBF-142"/>
      <sheetName val="YBF-143"/>
      <sheetName val="YBF-144"/>
      <sheetName val="YBF-145"/>
      <sheetName val="YBF-146"/>
      <sheetName val="YBF-147"/>
      <sheetName val="YBF-148"/>
      <sheetName val="YBF-149"/>
      <sheetName val="YBF-150"/>
      <sheetName val="YBF-151"/>
      <sheetName val="YBF-152"/>
      <sheetName val="YBF-153"/>
      <sheetName val="YBF-154"/>
      <sheetName val="YBF-155"/>
      <sheetName val="YBF-156"/>
      <sheetName val="YBF-157"/>
      <sheetName val="YBF-157 -2"/>
      <sheetName val="YBF-158"/>
      <sheetName val="YBF-159"/>
      <sheetName val="YBF-160"/>
      <sheetName val="YBF-161"/>
      <sheetName val="YBF-162"/>
      <sheetName val="YBF-163"/>
      <sheetName val="YBF-164"/>
      <sheetName val="YBF-165"/>
      <sheetName val="YBF-166"/>
      <sheetName val="YBF-167"/>
      <sheetName val="YBF-168"/>
      <sheetName val="YBF-169"/>
      <sheetName val="YBF-170"/>
      <sheetName val="YBF-171"/>
      <sheetName val="işçilik"/>
      <sheetName val="YBF-11-"/>
      <sheetName val="YBF-13-"/>
      <sheetName val="YBF-14-"/>
      <sheetName val="YBF-15- "/>
      <sheetName val="YBF-16- "/>
      <sheetName val="YBF-17- "/>
      <sheetName val="YBF-18-"/>
      <sheetName val="YBF-19- "/>
      <sheetName val="YBF-22-"/>
      <sheetName val="YBF-23-"/>
      <sheetName val="YBF-27-"/>
      <sheetName val="YBF-29- "/>
      <sheetName val="YBF-32- "/>
      <sheetName val="YBF-34-"/>
      <sheetName val="YBF-36- "/>
      <sheetName val="YBF-56- "/>
      <sheetName val="YBF-57- "/>
      <sheetName val="YBF-58-  "/>
      <sheetName val="YBF-60-"/>
      <sheetName val="YBF-56"/>
      <sheetName val="YBF-57"/>
      <sheetName val="YBF-58"/>
      <sheetName val="YBF-59"/>
      <sheetName val="YBF-60"/>
      <sheetName val="YBF-29"/>
      <sheetName val="YBF-30"/>
      <sheetName val="YBF-31"/>
      <sheetName val="YBF-32"/>
      <sheetName val="YBF-33"/>
      <sheetName val="YBF-34"/>
      <sheetName val="YBF-35"/>
      <sheetName val="YBF-36"/>
      <sheetName val="YBF-26"/>
      <sheetName val="YBF-52- "/>
      <sheetName val="YBF-53-  "/>
      <sheetName val="YBF-54-  "/>
      <sheetName val="YBF-55- "/>
      <sheetName val="YBF-62"/>
      <sheetName val="YBF-58--"/>
      <sheetName val="YBF-59--"/>
      <sheetName val="YBF-55--"/>
      <sheetName val="YBF-54--"/>
      <sheetName val="YBF-35-"/>
      <sheetName val="YBF--006"/>
      <sheetName val="YBF--007"/>
      <sheetName val=" N Finansal Eğri"/>
      <sheetName val="Lists"/>
      <sheetName val="Legend"/>
      <sheetName val="Sheet1"/>
      <sheetName val="BQMPALOC"/>
      <sheetName val="Birimler"/>
      <sheetName val="list"/>
      <sheetName val="İLK_YAP_"/>
      <sheetName val="Link"/>
      <sheetName val="ATAŞMAN 8.040"/>
      <sheetName val="Keşif"/>
      <sheetName val="SD-005 Ataşman 10-027 (TİP8)"/>
      <sheetName val="SD-005 Ataşman 8-040 (TİP1)"/>
      <sheetName val="SD-014"/>
      <sheetName val="INSAAT"/>
      <sheetName val="Cash2"/>
      <sheetName val="Z"/>
      <sheetName val="pencere merkezi ys ab"/>
      <sheetName val="kule pencere merk"/>
      <sheetName val="FitOutConfCentre"/>
      <sheetName val="eryamankeşif"/>
      <sheetName val="rayıc"/>
      <sheetName val="MALZEME VE İŞÇİLİK"/>
      <sheetName val="LOB"/>
      <sheetName val="AOP Summary-2"/>
      <sheetName val="HUD_YOLU_DUVAR_8_MT"/>
      <sheetName val="Finansal tamamlanma E?risi"/>
      <sheetName val="оферта"/>
      <sheetName val="СВОД"/>
      <sheetName val="оферта ВИСкор"/>
      <sheetName val="Лист3"/>
      <sheetName val="СВОД номенклатура"/>
      <sheetName val="для групировки номенкл"/>
      <sheetName val="оферта (2)"/>
      <sheetName val="Лист1"/>
      <sheetName val="Лист2"/>
      <sheetName val="свод КВР"/>
      <sheetName val="для группировки КВР"/>
      <sheetName val="данные для ЭТП"/>
      <sheetName val="_N_Finansal_Eğri"/>
      <sheetName val="Rapor_data"/>
      <sheetName val="Ambar_Çıkışları"/>
      <sheetName val="YBF_-_ATAKON_-_POLİMEKS"/>
      <sheetName val="YBF_ÖZET_miktarlı"/>
      <sheetName val="YBF151117_-_YBFAY_KARŞILAŞTIRMA"/>
      <sheetName val="Yardımcı_Malz__Analizi"/>
      <sheetName val="YBF-051_-_A"/>
      <sheetName val="YBF-052_-_A"/>
      <sheetName val="YBF-053_-_A"/>
      <sheetName val="YBF-054_-_A"/>
      <sheetName val="YBF-092_-_A"/>
      <sheetName val="YBF-093_-_A"/>
      <sheetName val="YBF-094_-_A"/>
      <sheetName val="YBF-095_-A_"/>
      <sheetName val="YBF-096_-_A"/>
      <sheetName val="YBF-097_-_A"/>
      <sheetName val="YBF-098_-_A"/>
      <sheetName val="YBF-157_-2"/>
      <sheetName val="YBF-15-_"/>
      <sheetName val="YBF-16-_"/>
      <sheetName val="YBF-17-_"/>
      <sheetName val="YBF-19-_"/>
      <sheetName val="YBF-29-_"/>
      <sheetName val="YBF-32-_"/>
      <sheetName val="YBF-36-_"/>
      <sheetName val="YBF-56-_"/>
      <sheetName val="YBF-57-_"/>
      <sheetName val="YBF-58-__"/>
      <sheetName val="YBF-52-_"/>
      <sheetName val="YBF-53-__"/>
      <sheetName val="YBF-54-__"/>
      <sheetName val="YBF-55-_"/>
      <sheetName val="Finansal_tamamlanma_E?risi"/>
      <sheetName val="оферта_ВИСкор"/>
      <sheetName val="СВОД_номенклатура"/>
      <sheetName val="для_групировки_номенкл"/>
      <sheetName val="оферта_(2)"/>
      <sheetName val="свод_КВР"/>
      <sheetName val="для_группировки_КВР"/>
      <sheetName val="данные_для_ЭТП"/>
      <sheetName val="Ozet (Rannila)"/>
      <sheetName val="Rapor_Kapsamı2"/>
      <sheetName val="Proje_Hakkında_Bilgiler2"/>
      <sheetName val="Proje_Prog_Deg_Özeti2"/>
      <sheetName val="Finansal_tamamlanma_Eğrisi2"/>
      <sheetName val="Fiziksel_tamamlanma_Eğrisi2"/>
      <sheetName val="Butce_Degerlendirme_Ozeti2"/>
      <sheetName val="Dahili_İstihkak_Raporu2"/>
      <sheetName val="Nakit_Akım_Tablosu2"/>
      <sheetName val="Bekleyen_Alacaklar_Tablosu2"/>
      <sheetName val="Bekleyen_Borclar2"/>
      <sheetName val="Personel_Durum_Ozeti2"/>
      <sheetName val="Personel_Maliyet_Özeti_USD2"/>
      <sheetName val="İLK_YAP_1"/>
      <sheetName val="HUD_YOLU_DUVAR_8_MT1"/>
      <sheetName val="_N_Finansal_Eğri1"/>
      <sheetName val="Rapor_data1"/>
      <sheetName val="Ambar_Çıkışları1"/>
      <sheetName val="YBF_-_ATAKON_-_POLİMEKS1"/>
      <sheetName val="YBF_ÖZET_miktarlı1"/>
      <sheetName val="YBF151117_-_YBFAY_KARŞILAŞTIRM1"/>
      <sheetName val="Yardımcı_Malz__Analizi1"/>
      <sheetName val="YBF-051_-_A1"/>
      <sheetName val="YBF-052_-_A1"/>
      <sheetName val="YBF-053_-_A1"/>
      <sheetName val="YBF-054_-_A1"/>
      <sheetName val="YBF-092_-_A1"/>
      <sheetName val="YBF-093_-_A1"/>
      <sheetName val="YBF-094_-_A1"/>
      <sheetName val="YBF-095_-A_1"/>
      <sheetName val="YBF-096_-_A1"/>
      <sheetName val="YBF-097_-_A1"/>
      <sheetName val="YBF-098_-_A1"/>
      <sheetName val="YBF-157_-21"/>
      <sheetName val="YBF-15-_1"/>
      <sheetName val="YBF-16-_1"/>
      <sheetName val="YBF-17-_1"/>
      <sheetName val="YBF-19-_1"/>
      <sheetName val="YBF-29-_1"/>
      <sheetName val="YBF-32-_1"/>
      <sheetName val="YBF-36-_1"/>
      <sheetName val="YBF-56-_1"/>
      <sheetName val="YBF-57-_1"/>
      <sheetName val="YBF-58-__1"/>
      <sheetName val="YBF-52-_1"/>
      <sheetName val="YBF-53-__1"/>
      <sheetName val="YBF-54-__1"/>
      <sheetName val="YBF-55-_1"/>
      <sheetName val="Finansal_tamamlanma_E?risi1"/>
      <sheetName val="оферта_ВИСкор1"/>
      <sheetName val="СВОД_номенклатура1"/>
      <sheetName val="для_групировки_номенкл1"/>
      <sheetName val="оферта_(2)1"/>
      <sheetName val="свод_КВР1"/>
      <sheetName val="для_группировки_КВР1"/>
      <sheetName val="данные_для_ЭТП1"/>
      <sheetName val="1"/>
      <sheetName val="Rapor"/>
      <sheetName val="AC"/>
      <sheetName val="Пр"/>
      <sheetName val="Компании"/>
      <sheetName val="БДДС"/>
      <sheetName val="ЦФО"/>
      <sheetName val="HAKEDİŞ "/>
      <sheetName val="Analiz-dec"/>
      <sheetName val="TESİSAT"/>
      <sheetName val="YBF-09-081"/>
      <sheetName val="YB9-082"/>
      <sheetName val="YB9083"/>
      <sheetName val="YBF9084"/>
      <sheetName val="YBF9-085"/>
      <sheetName val="YB9-086"/>
      <sheetName val="YB9-087"/>
      <sheetName val="YB92 - A"/>
      <sheetName val="YBF-10-082"/>
      <sheetName val="Y103"/>
      <sheetName val="YBF-10-085"/>
      <sheetName val="Y10-086"/>
      <sheetName val="Y10-087"/>
      <sheetName val="Y108"/>
      <sheetName val="YBF-157 --082"/>
      <sheetName val="Y158"/>
      <sheetName val="YBF-1BF-059"/>
      <sheetName val="160"/>
      <sheetName val="YBF-BF-059"/>
      <sheetName val="60"/>
      <sheetName val="YBF--00-086"/>
      <sheetName val="Y-007"/>
      <sheetName val="Finansal_tamamlanma_Eğrisi3"/>
      <sheetName val="Finansal_tamamlanma_Eğrisi4"/>
      <sheetName val="Rapor_Kapsamı3"/>
      <sheetName val="Proje_Hakkında_Bilgiler3"/>
      <sheetName val="Proje_Prog_Deg_Özeti3"/>
      <sheetName val="Fiziksel_tamamlanma_Eğrisi3"/>
      <sheetName val="Butce_Degerlendirme_Ozeti3"/>
      <sheetName val="Dahili_İstihkak_Raporu3"/>
      <sheetName val="Nakit_Akım_Tablosu3"/>
      <sheetName val="Bekleyen_Alacaklar_Tablosu3"/>
      <sheetName val="Bekleyen_Borclar3"/>
      <sheetName val="Personel_Durum_Ozeti3"/>
      <sheetName val="Personel_Maliyet_Özeti_USD3"/>
      <sheetName val="İLK_YAP_2"/>
      <sheetName val="Rapor_data2"/>
      <sheetName val="HUD_YOLU_DUVAR_8_MT2"/>
      <sheetName val="_N_Finansal_Eğri2"/>
      <sheetName val="Ambar_Çıkışları2"/>
      <sheetName val="YBF_-_ATAKON_-_POLİMEKS2"/>
      <sheetName val="YBF_ÖZET_miktarlı2"/>
      <sheetName val="YBF151117_-_YBFAY_KARŞILAŞTIRM2"/>
      <sheetName val="Yardımcı_Malz__Analizi2"/>
      <sheetName val="YBF-051_-_A2"/>
      <sheetName val="YBF-052_-_A2"/>
      <sheetName val="YBF-053_-_A2"/>
      <sheetName val="YBF-054_-_A2"/>
      <sheetName val="YBF-092_-_A2"/>
      <sheetName val="YBF-093_-_A2"/>
      <sheetName val="YBF-094_-_A2"/>
      <sheetName val="YBF-095_-A_2"/>
      <sheetName val="YBF-096_-_A2"/>
      <sheetName val="YBF-097_-_A2"/>
      <sheetName val="YBF-098_-_A2"/>
      <sheetName val="YBF-157_-22"/>
      <sheetName val="YBF-15-_2"/>
      <sheetName val="YBF-16-_2"/>
      <sheetName val="YBF-17-_2"/>
      <sheetName val="YBF-19-_2"/>
      <sheetName val="YBF-29-_2"/>
      <sheetName val="YBF-32-_2"/>
      <sheetName val="YBF-36-_2"/>
      <sheetName val="YBF-56-_2"/>
      <sheetName val="YBF-57-_2"/>
      <sheetName val="YBF-58-__2"/>
      <sheetName val="YBF-52-_2"/>
      <sheetName val="YBF-53-__2"/>
      <sheetName val="YBF-54-__2"/>
      <sheetName val="YBF-55-_2"/>
      <sheetName val="Finansal_tamamlanma_E?risi2"/>
      <sheetName val="оферта_ВИСкор2"/>
      <sheetName val="СВОД_номенклатура2"/>
      <sheetName val="для_групировки_номенкл2"/>
      <sheetName val="оферта_(2)2"/>
      <sheetName val="свод_КВР2"/>
      <sheetName val="для_группировки_КВР2"/>
      <sheetName val="данные_для_ЭТП2"/>
      <sheetName val="ATAŞMAN_8_040"/>
      <sheetName val="SD-005_Ataşman_10-027_(TİP8)"/>
      <sheetName val="SD-005_Ataşman_8-040_(TİP1)"/>
      <sheetName val="pencere_merkezi_ys_ab"/>
      <sheetName val="kule_pencere_merk"/>
      <sheetName val="MALZEME_VE_İŞÇİLİK"/>
      <sheetName val="AOP_Summary-2"/>
      <sheetName val="Ozet_(Rannila)"/>
      <sheetName val="Finansal tamamlanma Erisi"/>
      <sheetName val="Finansal_tamamlanma_Erisi"/>
      <sheetName val="Finansal_tamamlanma_Erisi1"/>
      <sheetName val="SIVA"/>
      <sheetName val="топография"/>
      <sheetName val="Данные для расчёта сметы"/>
      <sheetName val="pencere_merkezi_ys_ab1"/>
      <sheetName val="kule_pencere_merk1"/>
      <sheetName val="ATAŞMAN_8_0401"/>
      <sheetName val="SD-005_Ataşman_10-027_(TİP8)1"/>
      <sheetName val="SD-005_Ataşman_8-040_(TİP1)1"/>
      <sheetName val="DOKUM"/>
      <sheetName val=""/>
      <sheetName val="Finansal_tamamlanma_Erisi2"/>
      <sheetName val="Finansal tamamlanma E_risi"/>
      <sheetName val="Finansal_tamamlanma_E_risi"/>
      <sheetName val="-0.5 TABLA PRESUPUESTOS"/>
      <sheetName val="#REF"/>
      <sheetName val="50"/>
      <sheetName val="16"/>
      <sheetName val="Лимит Нягань (норм)"/>
      <sheetName val="Finansal_tamamlanma_Eğrisi5"/>
      <sheetName val="Rapor_Kapsamı4"/>
      <sheetName val="Proje_Hakkında_Bilgiler4"/>
      <sheetName val="Proje_Prog_Deg_Özeti4"/>
      <sheetName val="Fiziksel_tamamlanma_Eğrisi4"/>
      <sheetName val="Butce_Degerlendirme_Ozeti4"/>
      <sheetName val="Dahili_İstihkak_Raporu4"/>
      <sheetName val="Nakit_Akım_Tablosu4"/>
      <sheetName val="Bekleyen_Alacaklar_Tablosu4"/>
      <sheetName val="Bekleyen_Borclar4"/>
      <sheetName val="Personel_Durum_Ozeti4"/>
      <sheetName val="Personel_Maliyet_Özeti_USD4"/>
      <sheetName val="İLK_YAP_3"/>
      <sheetName val="Rapor_data3"/>
      <sheetName val="HUD_YOLU_DUVAR_8_MT3"/>
      <sheetName val="_N_Finansal_Eğri3"/>
      <sheetName val="Ambar_Çıkışları3"/>
      <sheetName val="YBF_-_ATAKON_-_POLİMEKS3"/>
      <sheetName val="YBF_ÖZET_miktarlı3"/>
      <sheetName val="YBF151117_-_YBFAY_KARŞILAŞTIRM3"/>
      <sheetName val="Yardımcı_Malz__Analizi3"/>
      <sheetName val="YBF-051_-_A3"/>
      <sheetName val="YBF-052_-_A3"/>
      <sheetName val="YBF-053_-_A3"/>
      <sheetName val="YBF-054_-_A3"/>
      <sheetName val="YBF-092_-_A3"/>
      <sheetName val="YBF-093_-_A3"/>
      <sheetName val="YBF-094_-_A3"/>
      <sheetName val="YBF-095_-A_3"/>
      <sheetName val="YBF-096_-_A3"/>
      <sheetName val="YBF-097_-_A3"/>
      <sheetName val="YBF-098_-_A3"/>
      <sheetName val="YBF-157_-23"/>
      <sheetName val="YBF-15-_3"/>
      <sheetName val="YBF-16-_3"/>
      <sheetName val="YBF-17-_3"/>
      <sheetName val="YBF-19-_3"/>
      <sheetName val="YBF-29-_3"/>
      <sheetName val="YBF-32-_3"/>
      <sheetName val="YBF-36-_3"/>
      <sheetName val="YBF-56-_3"/>
      <sheetName val="YBF-57-_3"/>
      <sheetName val="YBF-58-__3"/>
      <sheetName val="YBF-52-_3"/>
      <sheetName val="YBF-53-__3"/>
      <sheetName val="YBF-54-__3"/>
      <sheetName val="YBF-55-_3"/>
      <sheetName val="Finansal_tamamlanma_E?risi3"/>
      <sheetName val="оферта_ВИСкор3"/>
      <sheetName val="СВОД_номенклатура3"/>
      <sheetName val="для_групировки_номенкл3"/>
      <sheetName val="оферта_(2)3"/>
      <sheetName val="свод_КВР3"/>
      <sheetName val="для_группировки_КВР3"/>
      <sheetName val="данные_для_ЭТП3"/>
      <sheetName val="MALZEME_VE_İŞÇİLİK1"/>
      <sheetName val="AOP_Summary-21"/>
      <sheetName val="Ozet_(Rannila)1"/>
      <sheetName val="Finansal_tamamlanma_Eğrisi6"/>
      <sheetName val="Rapor_Kapsamı5"/>
      <sheetName val="Proje_Hakkında_Bilgiler5"/>
      <sheetName val="Proje_Prog_Deg_Özeti5"/>
      <sheetName val="Fiziksel_tamamlanma_Eğrisi5"/>
      <sheetName val="Butce_Degerlendirme_Ozeti5"/>
      <sheetName val="Dahili_İstihkak_Raporu5"/>
      <sheetName val="Nakit_Akım_Tablosu5"/>
      <sheetName val="Bekleyen_Alacaklar_Tablosu5"/>
      <sheetName val="Bekleyen_Borclar5"/>
      <sheetName val="Personel_Durum_Ozeti5"/>
      <sheetName val="Personel_Maliyet_Özeti_USD5"/>
      <sheetName val="İLK_YAP_4"/>
      <sheetName val="Rapor_data4"/>
      <sheetName val="HUD_YOLU_DUVAR_8_MT4"/>
      <sheetName val="_N_Finansal_Eğri4"/>
      <sheetName val="Ambar_Çıkışları4"/>
      <sheetName val="YBF_-_ATAKON_-_POLİMEKS4"/>
      <sheetName val="YBF_ÖZET_miktarlı4"/>
      <sheetName val="YBF151117_-_YBFAY_KARŞILAŞTIRM4"/>
      <sheetName val="Yardımcı_Malz__Analizi4"/>
      <sheetName val="YBF-051_-_A4"/>
      <sheetName val="YBF-052_-_A4"/>
      <sheetName val="YBF-053_-_A4"/>
      <sheetName val="YBF-054_-_A4"/>
      <sheetName val="YBF-092_-_A4"/>
      <sheetName val="YBF-093_-_A4"/>
      <sheetName val="YBF-094_-_A4"/>
      <sheetName val="YBF-095_-A_4"/>
      <sheetName val="YBF-096_-_A4"/>
      <sheetName val="YBF-097_-_A4"/>
      <sheetName val="YBF-098_-_A4"/>
      <sheetName val="YBF-157_-24"/>
      <sheetName val="YBF-15-_4"/>
      <sheetName val="YBF-16-_4"/>
      <sheetName val="YBF-17-_4"/>
      <sheetName val="YBF-19-_4"/>
      <sheetName val="YBF-29-_4"/>
      <sheetName val="YBF-32-_4"/>
      <sheetName val="YBF-36-_4"/>
      <sheetName val="YBF-56-_4"/>
      <sheetName val="YBF-57-_4"/>
      <sheetName val="YBF-58-__4"/>
      <sheetName val="YBF-52-_4"/>
      <sheetName val="YBF-53-__4"/>
      <sheetName val="YBF-54-__4"/>
      <sheetName val="YBF-55-_4"/>
      <sheetName val="Finansal_tamamlanma_E?risi4"/>
      <sheetName val="оферта_ВИСкор4"/>
      <sheetName val="СВОД_номенклатура4"/>
      <sheetName val="для_групировки_номенкл4"/>
      <sheetName val="оферта_(2)4"/>
      <sheetName val="свод_КВР4"/>
      <sheetName val="для_группировки_КВР4"/>
      <sheetName val="данные_для_ЭТП4"/>
      <sheetName val="ATAŞMAN_8_0402"/>
      <sheetName val="SD-005_Ataşman_10-027_(TİP8)2"/>
      <sheetName val="SD-005_Ataşman_8-040_(TİP1)2"/>
      <sheetName val="pencere_merkezi_ys_ab2"/>
      <sheetName val="kule_pencere_merk2"/>
      <sheetName val="MALZEME_VE_İŞÇİLİK2"/>
      <sheetName val="AOP_Summary-22"/>
      <sheetName val="Ozet_(Rannila)2"/>
      <sheetName val="Finansal_tamamlanma_Eğrisi7"/>
      <sheetName val="Rapor_Kapsamı6"/>
      <sheetName val="Proje_Hakkında_Bilgiler6"/>
      <sheetName val="Proje_Prog_Deg_Özeti6"/>
      <sheetName val="Fiziksel_tamamlanma_Eğrisi6"/>
      <sheetName val="Butce_Degerlendirme_Ozeti6"/>
      <sheetName val="Dahili_İstihkak_Raporu6"/>
      <sheetName val="Nakit_Akım_Tablosu6"/>
      <sheetName val="Bekleyen_Alacaklar_Tablosu6"/>
      <sheetName val="Bekleyen_Borclar6"/>
      <sheetName val="Personel_Durum_Ozeti6"/>
      <sheetName val="Personel_Maliyet_Özeti_USD6"/>
      <sheetName val="İLK_YAP_5"/>
      <sheetName val="Rapor_data5"/>
      <sheetName val="HUD_YOLU_DUVAR_8_MT5"/>
      <sheetName val="_N_Finansal_Eğri5"/>
      <sheetName val="Ambar_Çıkışları5"/>
      <sheetName val="YBF_-_ATAKON_-_POLİMEKS5"/>
      <sheetName val="YBF_ÖZET_miktarlı5"/>
      <sheetName val="YBF151117_-_YBFAY_KARŞILAŞTIRM5"/>
      <sheetName val="Yardımcı_Malz__Analizi5"/>
      <sheetName val="YBF-051_-_A5"/>
      <sheetName val="YBF-052_-_A5"/>
      <sheetName val="YBF-053_-_A5"/>
      <sheetName val="YBF-054_-_A5"/>
      <sheetName val="YBF-092_-_A5"/>
      <sheetName val="YBF-093_-_A5"/>
      <sheetName val="YBF-094_-_A5"/>
      <sheetName val="YBF-095_-A_5"/>
      <sheetName val="YBF-096_-_A5"/>
      <sheetName val="YBF-097_-_A5"/>
      <sheetName val="YBF-098_-_A5"/>
      <sheetName val="YBF-157_-25"/>
      <sheetName val="YBF-15-_5"/>
      <sheetName val="YBF-16-_5"/>
      <sheetName val="YBF-17-_5"/>
      <sheetName val="YBF-19-_5"/>
      <sheetName val="YBF-29-_5"/>
      <sheetName val="YBF-32-_5"/>
      <sheetName val="YBF-36-_5"/>
      <sheetName val="YBF-56-_5"/>
      <sheetName val="YBF-57-_5"/>
      <sheetName val="YBF-58-__5"/>
      <sheetName val="YBF-52-_5"/>
      <sheetName val="YBF-53-__5"/>
      <sheetName val="YBF-54-__5"/>
      <sheetName val="YBF-55-_5"/>
      <sheetName val="Finansal_tamamlanma_E?risi5"/>
      <sheetName val="оферта_ВИСкор5"/>
      <sheetName val="СВОД_номенклатура5"/>
      <sheetName val="для_групировки_номенкл5"/>
      <sheetName val="оферта_(2)5"/>
      <sheetName val="свод_КВР5"/>
      <sheetName val="для_группировки_КВР5"/>
      <sheetName val="данные_для_ЭТП5"/>
      <sheetName val="ATAŞMAN_8_0403"/>
      <sheetName val="SD-005_Ataşman_10-027_(TİP8)3"/>
      <sheetName val="SD-005_Ataşman_8-040_(TİP1)3"/>
      <sheetName val="pencere_merkezi_ys_ab3"/>
      <sheetName val="kule_pencere_merk3"/>
      <sheetName val="MALZEME_VE_İŞÇİLİK3"/>
      <sheetName val="AOP_Summary-23"/>
      <sheetName val="Ozet_(Rannila)3"/>
      <sheetName val="Finansal_tamamlanma_Eğrisi8"/>
      <sheetName val="Rapor_Kapsamı7"/>
      <sheetName val="Proje_Hakkında_Bilgiler7"/>
      <sheetName val="Proje_Prog_Deg_Özeti7"/>
      <sheetName val="Fiziksel_tamamlanma_Eğrisi7"/>
      <sheetName val="Butce_Degerlendirme_Ozeti7"/>
      <sheetName val="Dahili_İstihkak_Raporu7"/>
      <sheetName val="Nakit_Akım_Tablosu7"/>
      <sheetName val="Bekleyen_Alacaklar_Tablosu7"/>
      <sheetName val="Bekleyen_Borclar7"/>
      <sheetName val="Personel_Durum_Ozeti7"/>
      <sheetName val="Personel_Maliyet_Özeti_USD7"/>
      <sheetName val="İLK_YAP_6"/>
      <sheetName val="Rapor_data6"/>
      <sheetName val="HUD_YOLU_DUVAR_8_MT6"/>
      <sheetName val="_N_Finansal_Eğri6"/>
      <sheetName val="Ambar_Çıkışları6"/>
      <sheetName val="YBF_-_ATAKON_-_POLİMEKS6"/>
      <sheetName val="YBF_ÖZET_miktarlı6"/>
      <sheetName val="YBF151117_-_YBFAY_KARŞILAŞTIRM6"/>
      <sheetName val="Yardımcı_Malz__Analizi6"/>
      <sheetName val="YBF-051_-_A6"/>
      <sheetName val="YBF-052_-_A6"/>
      <sheetName val="YBF-053_-_A6"/>
      <sheetName val="YBF-054_-_A6"/>
      <sheetName val="YBF-092_-_A6"/>
      <sheetName val="YBF-093_-_A6"/>
      <sheetName val="YBF-094_-_A6"/>
      <sheetName val="YBF-095_-A_6"/>
      <sheetName val="YBF-096_-_A6"/>
      <sheetName val="YBF-097_-_A6"/>
      <sheetName val="YBF-098_-_A6"/>
      <sheetName val="YBF-157_-26"/>
      <sheetName val="YBF-15-_6"/>
      <sheetName val="YBF-16-_6"/>
      <sheetName val="YBF-17-_6"/>
      <sheetName val="YBF-19-_6"/>
      <sheetName val="YBF-29-_6"/>
      <sheetName val="YBF-32-_6"/>
      <sheetName val="YBF-36-_6"/>
      <sheetName val="YBF-56-_6"/>
      <sheetName val="YBF-57-_6"/>
      <sheetName val="YBF-58-__6"/>
      <sheetName val="YBF-52-_6"/>
      <sheetName val="YBF-53-__6"/>
      <sheetName val="YBF-54-__6"/>
      <sheetName val="YBF-55-_6"/>
      <sheetName val="Finansal_tamamlanma_E?risi6"/>
      <sheetName val="оферта_ВИСкор6"/>
      <sheetName val="СВОД_номенклатура6"/>
      <sheetName val="для_групировки_номенкл6"/>
      <sheetName val="оферта_(2)6"/>
      <sheetName val="свод_КВР6"/>
      <sheetName val="для_группировки_КВР6"/>
      <sheetName val="данные_для_ЭТП6"/>
      <sheetName val="ATAŞMAN_8_0404"/>
      <sheetName val="SD-005_Ataşman_10-027_(TİP8)4"/>
      <sheetName val="SD-005_Ataşman_8-040_(TİP1)4"/>
      <sheetName val="pencere_merkezi_ys_ab4"/>
      <sheetName val="kule_pencere_merk4"/>
      <sheetName val="MALZEME_VE_İŞÇİLİK4"/>
      <sheetName val="AOP_Summary-24"/>
      <sheetName val="Ozet_(Rannila)4"/>
      <sheetName val="BILL"/>
      <sheetName val="Table"/>
      <sheetName val="Degiskenler"/>
      <sheetName val="Finansal_tamamlanma_E_risi1"/>
      <sheetName val="Finansal_tamamlanma_E_risi2"/>
      <sheetName val="breakdown"/>
      <sheetName val="영동(D)"/>
      <sheetName val="기계내역서"/>
      <sheetName val="PERSONNELIST"/>
      <sheetName val="Tipo de Cambio"/>
      <sheetName val="Assumptions"/>
      <sheetName val="Presupuesto"/>
      <sheetName val="12CGOU"/>
      <sheetName val="Справочник"/>
      <sheetName val="15010"/>
      <sheetName val="24"/>
      <sheetName val="CPS"/>
      <sheetName val="Finansal_tamamlanma_Erisi3"/>
      <sheetName val="Finansal_tamamlanma_Erisi4"/>
      <sheetName val="Finansal_tamamlanma_Erisi5"/>
      <sheetName val="Finansal_tamamlanma_Erisi6"/>
      <sheetName val="tutanaklar"/>
      <sheetName val="Birim Fiyatlar"/>
      <sheetName val="inşaat"/>
      <sheetName val="tablo"/>
      <sheetName val="YB92_-_A"/>
      <sheetName val="YBF-157_--082"/>
      <sheetName val="HAKEDİŞ_"/>
      <sheetName val="CASHFLOWS"/>
      <sheetName val="B03"/>
      <sheetName val="Курс-маржа"/>
      <sheetName val="Kabuller"/>
      <sheetName val="УВ"/>
      <sheetName val="Расчет стоимости СП"/>
      <sheetName val="списки"/>
      <sheetName val="ТЭП"/>
      <sheetName val="вып список"/>
      <sheetName val="STRIP Sizing"/>
      <sheetName val="Sheet536"/>
      <sheetName val="ENGG_CVL"/>
      <sheetName val="INFO"/>
      <sheetName val="Kur"/>
      <sheetName val="Доходы"/>
      <sheetName val="Finansal_tamamlanma_E_risi3"/>
      <sheetName val="Finansal_tamamlanma_E_risi4"/>
      <sheetName val="Finansal_tamamlanma_E_risi5"/>
      <sheetName val="Finansal_tamamlanma_E_risi6"/>
      <sheetName val="Графики"/>
      <sheetName val="Eq. Mobilization"/>
      <sheetName val="СВОДНАЯ "/>
      <sheetName val="PRICE-COMP"/>
      <sheetName val="EKDEB90"/>
      <sheetName val="jj"/>
      <sheetName val="설계내역서"/>
      <sheetName val="Rapor_Kapsamı8"/>
      <sheetName val="Proje_Hakkında_Bilgiler8"/>
      <sheetName val="Proje_Prog_Deg_Özeti8"/>
      <sheetName val="Finansal_tamamlanma_Eğrisi9"/>
      <sheetName val="Fiziksel_tamamlanma_Eğrisi8"/>
      <sheetName val="Butce_Degerlendirme_Ozeti8"/>
      <sheetName val="Dahili_İstihkak_Raporu8"/>
      <sheetName val="Nakit_Akım_Tablosu8"/>
      <sheetName val="Bekleyen_Alacaklar_Tablosu8"/>
      <sheetName val="Bekleyen_Borclar8"/>
      <sheetName val="Personel_Durum_Ozeti8"/>
      <sheetName val="Personel_Maliyet_Özeti_USD8"/>
      <sheetName val="İLK_YAP_7"/>
      <sheetName val="HUD_YOLU_DUVAR_8_MT7"/>
      <sheetName val="Ambar_Çıkışları7"/>
      <sheetName val="YBF_-_ATAKON_-_POLİMEKS7"/>
      <sheetName val="YBF_ÖZET_miktarlı7"/>
      <sheetName val="YBF151117_-_YBFAY_KARŞILAŞTIRM7"/>
      <sheetName val="Yardımcı_Malz__Analizi7"/>
      <sheetName val="YBF-051_-_A7"/>
      <sheetName val="YBF-052_-_A7"/>
      <sheetName val="YBF-053_-_A7"/>
      <sheetName val="YBF-054_-_A7"/>
      <sheetName val="YBF-092_-_A7"/>
      <sheetName val="YBF-093_-_A7"/>
      <sheetName val="YBF-094_-_A7"/>
      <sheetName val="YBF-095_-A_7"/>
      <sheetName val="YBF-096_-_A7"/>
      <sheetName val="YBF-097_-_A7"/>
      <sheetName val="YBF-098_-_A7"/>
      <sheetName val="YBF-157_-27"/>
      <sheetName val="YBF-15-_7"/>
      <sheetName val="YBF-16-_7"/>
      <sheetName val="YBF-17-_7"/>
      <sheetName val="YBF-19-_7"/>
      <sheetName val="YBF-29-_7"/>
      <sheetName val="YBF-32-_7"/>
      <sheetName val="YBF-36-_7"/>
      <sheetName val="YBF-56-_7"/>
      <sheetName val="YBF-57-_7"/>
      <sheetName val="YBF-58-__7"/>
      <sheetName val="YBF-52-_7"/>
      <sheetName val="YBF-53-__7"/>
      <sheetName val="YBF-54-__7"/>
      <sheetName val="YBF-55-_7"/>
      <sheetName val="_N_Finansal_Eğri7"/>
      <sheetName val="Rapor_data7"/>
      <sheetName val="ATAŞMAN_8_0405"/>
      <sheetName val="SD-005_Ataşman_10-027_(TİP8)5"/>
      <sheetName val="SD-005_Ataşman_8-040_(TİP1)5"/>
      <sheetName val="pencere_merkezi_ys_ab5"/>
      <sheetName val="kule_pencere_merk5"/>
      <sheetName val="MALZEME_VE_İŞÇİLİK5"/>
      <sheetName val="AOP_Summary-25"/>
      <sheetName val="Finansal_tamamlanma_E?risi7"/>
      <sheetName val="оферта_ВИСкор7"/>
      <sheetName val="СВОД_номенклатура7"/>
      <sheetName val="для_групировки_номенкл7"/>
      <sheetName val="оферта_(2)7"/>
      <sheetName val="свод_КВР7"/>
      <sheetName val="для_группировки_КВР7"/>
      <sheetName val="данные_для_ЭТП7"/>
      <sheetName val="Ozet_(Rannila)5"/>
      <sheetName val="HAKEDİŞ_1"/>
      <sheetName val="YB92_-_A1"/>
      <sheetName val="YBF-157_--0821"/>
      <sheetName val="Finansal_tamamlanma_Erisi7"/>
      <sheetName val="Данные_для_расчёта_сметы"/>
      <sheetName val="-0_5_TABLA_PRESUPUESTOS"/>
      <sheetName val="Tipo_de_Cambio"/>
      <sheetName val="Birim_Fiyatlar"/>
      <sheetName val="Расчет_стоимости_СП"/>
      <sheetName val="вып_список"/>
      <sheetName val="STRIP_Sizing"/>
      <sheetName val="Kurl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 refreshError="1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/>
      <sheetData sheetId="817"/>
      <sheetData sheetId="818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Kapak"/>
      <sheetName val="Rapor Kapsamı"/>
      <sheetName val="PM_Raporu"/>
      <sheetName val="Proje Hakkında Bilgiler"/>
      <sheetName val="Proje Aylık Faaliyet Degerl."/>
      <sheetName val="Proje Prog Deg Özeti"/>
      <sheetName val="FaaliyetDeg"/>
      <sheetName val="Finansal tamamlanma Eğrisi"/>
      <sheetName val="Fiziksel tamamlanma Eğrisi"/>
      <sheetName val="Butce Degerlendirme Ozeti"/>
      <sheetName val="Dahili İstihkak Raporu"/>
      <sheetName val="Ambar"/>
      <sheetName val="Nakit Akım Tablosu "/>
      <sheetName val="Bekleyen Alacaklar Tablosu"/>
      <sheetName val="Bekleyen Borclar"/>
      <sheetName val="Personel Durum Ozeti"/>
      <sheetName val="Personel Maliyet Özeti USD"/>
      <sheetName val="Degisiklik"/>
      <sheetName val="emniyet"/>
      <sheetName val="Finansal tamamlanma E?risi"/>
      <sheetName val="Sayfa1"/>
      <sheetName val="Kur"/>
      <sheetName val="303 Bord. de base des prix VRD"/>
      <sheetName val=" N Finansal Eğri"/>
      <sheetName val="DIV 2"/>
      <sheetName val="Tender Summary"/>
      <sheetName val="SCHEDULE"/>
      <sheetName val="HUD YOLU DUVAR 8 MT"/>
      <sheetName val="Rapor_Kapsamı"/>
      <sheetName val="Proje_Hakkında_Bilgiler"/>
      <sheetName val="Proje_Aylık_Faaliyet_Degerl_"/>
      <sheetName val="Proje_Prog_Deg_Özeti"/>
      <sheetName val="Finansal_tamamlanma_Eğrisi"/>
      <sheetName val="Fiziksel_tamamlanma_Eğrisi"/>
      <sheetName val="Butce_Degerlendirme_Ozeti"/>
      <sheetName val="Dahili_İstihkak_Raporu"/>
      <sheetName val="Nakit_Akım_Tablosu_"/>
      <sheetName val="Bekleyen_Alacaklar_Tablosu"/>
      <sheetName val="Bekleyen_Borclar"/>
      <sheetName val="Personel_Durum_Ozeti"/>
      <sheetName val="Personel_Maliyet_Özeti_USD"/>
      <sheetName val="Finansal_tamamlanma_E?risi"/>
      <sheetName val="Proje Kodları"/>
      <sheetName val="02 Beton Takip"/>
      <sheetName val="303_Bord__de_base_des_prix_VRD"/>
      <sheetName val="_N_Finansal_Eğri"/>
      <sheetName val="DIV_2"/>
      <sheetName val="Tender_Summary"/>
      <sheetName val="1998-06 (Ruslar-Endirekt)"/>
      <sheetName val="KADIKES2"/>
      <sheetName val="Rapor_Kapsamı1"/>
      <sheetName val="Proje_Hakkında_Bilgiler1"/>
      <sheetName val="Proje_Aylık_Faaliyet_Degerl_1"/>
      <sheetName val="Proje_Prog_Deg_Özeti1"/>
      <sheetName val="Finansal_tamamlanma_Eğrisi1"/>
      <sheetName val="Fiziksel_tamamlanma_Eğrisi1"/>
      <sheetName val="Butce_Degerlendirme_Ozeti1"/>
      <sheetName val="Dahili_İstihkak_Raporu1"/>
      <sheetName val="Nakit_Akım_Tablosu_1"/>
      <sheetName val="Bekleyen_Alacaklar_Tablosu1"/>
      <sheetName val="Bekleyen_Borclar1"/>
      <sheetName val="Personel_Durum_Ozeti1"/>
      <sheetName val="Personel_Maliyet_Özeti_USD1"/>
      <sheetName val="Finansal_tamamlanma_E?risi1"/>
      <sheetName val="HUD_YOLU_DUVAR_8_MT"/>
      <sheetName val="Proje_Kodları"/>
      <sheetName val="02_Beton_Takip"/>
      <sheetName val="POZLAR"/>
      <sheetName val="01 - Rapor - Ocak"/>
      <sheetName val="Can"/>
      <sheetName val=""/>
      <sheetName val="analiz"/>
      <sheetName val="s"/>
      <sheetName val="Factor"/>
      <sheetName val="01 - Rapor - Ocak.xls"/>
      <sheetName val="Rapor_Kapsamı2"/>
      <sheetName val="Proje_Hakkında_Bilgiler2"/>
      <sheetName val="Proje_Aylık_Faaliyet_Degerl_2"/>
      <sheetName val="Proje_Prog_Deg_Özeti2"/>
      <sheetName val="Finansal_tamamlanma_Eğrisi2"/>
      <sheetName val="Fiziksel_tamamlanma_Eğrisi2"/>
      <sheetName val="Butce_Degerlendirme_Ozeti2"/>
      <sheetName val="Dahili_İstihkak_Raporu2"/>
      <sheetName val="Nakit_Akım_Tablosu_2"/>
      <sheetName val="Bekleyen_Alacaklar_Tablosu2"/>
      <sheetName val="Bekleyen_Borclar2"/>
      <sheetName val="Personel_Durum_Ozeti2"/>
      <sheetName val="Personel_Maliyet_Özeti_USD2"/>
      <sheetName val="Finansal_tamamlanma_E?risi2"/>
      <sheetName val="303_Bord__de_base_des_prix_VRD1"/>
      <sheetName val="_N_Finansal_Eğri1"/>
      <sheetName val="DIV_21"/>
      <sheetName val="Tender_Summary1"/>
      <sheetName val="HUD_YOLU_DUVAR_8_MT1"/>
      <sheetName val="Proje_Kodları1"/>
      <sheetName val="02_Beton_Takip1"/>
      <sheetName val="1998-06_(Ruslar-Endirekt)"/>
      <sheetName val="İCMAL"/>
      <sheetName val="Indirect"/>
      <sheetName val="MALZ.LIST."/>
      <sheetName val="TABLO-3"/>
      <sheetName val="cover"/>
      <sheetName val="BEYAN ARKAYÜZ"/>
      <sheetName val="CCP,LEYES, Y DEC."/>
      <sheetName val="Financial"/>
      <sheetName val="Draw"/>
      <sheetName val="Hard and Soft Cost CF"/>
      <sheetName val="A"/>
      <sheetName val="TESİSAT"/>
      <sheetName val="MALZ_LIST_"/>
      <sheetName val="Finansal tamamlanma E_risi"/>
      <sheetName val="Finansal_tamamlanma_E_risi"/>
      <sheetName val="Yonetici Raporu"/>
      <sheetName val="Finansal_tamamlanma_E?risi3"/>
      <sheetName val="Rapor_Kapsamı3"/>
      <sheetName val="Proje_Hakkında_Bilgiler3"/>
      <sheetName val="Proje_Aylık_Faaliyet_Degerl_3"/>
      <sheetName val="Proje_Prog_Deg_Özeti3"/>
      <sheetName val="Finansal_tamamlanma_Eğrisi3"/>
      <sheetName val="Fiziksel_tamamlanma_Eğrisi3"/>
      <sheetName val="Butce_Degerlendirme_Ozeti3"/>
      <sheetName val="Dahili_İstihkak_Raporu3"/>
      <sheetName val="Nakit_Akım_Tablosu_3"/>
      <sheetName val="Bekleyen_Alacaklar_Tablosu3"/>
      <sheetName val="Bekleyen_Borclar3"/>
      <sheetName val="Personel_Durum_Ozeti3"/>
      <sheetName val="Personel_Maliyet_Özeti_USD3"/>
      <sheetName val="303_Bord__de_base_des_prix_VRD2"/>
      <sheetName val="_N_Finansal_Eğri2"/>
      <sheetName val="DIV_22"/>
      <sheetName val="Tender_Summary2"/>
      <sheetName val="HUD_YOLU_DUVAR_8_MT2"/>
      <sheetName val="Proje_Kodları2"/>
      <sheetName val="02_Beton_Takip2"/>
      <sheetName val="1998-06_(Ruslar-Endirekt)1"/>
      <sheetName val="01_-_Rapor_-_Ocak_xls"/>
      <sheetName val="01_-_Rapor_-_Ocak"/>
      <sheetName val="CCP,LEYES,_Y_DEC_"/>
      <sheetName val="İskontolar"/>
      <sheetName val="INDIRECT COST"/>
      <sheetName val="MALZ_LIST_1"/>
      <sheetName val="BEYAN_ARKAYÜZ"/>
      <sheetName val="Finansal_tamamlanma_E_risi1"/>
      <sheetName val="Hard_and_Soft_Cost_CF"/>
      <sheetName val="Rapor_Kapsamı4"/>
      <sheetName val="Proje_Hakkında_Bilgiler4"/>
      <sheetName val="Proje_Aylık_Faaliyet_Degerl_4"/>
      <sheetName val="Proje_Prog_Deg_Özeti4"/>
      <sheetName val="Finansal_tamamlanma_Eğrisi4"/>
      <sheetName val="Fiziksel_tamamlanma_Eğrisi4"/>
      <sheetName val="Butce_Degerlendirme_Ozeti4"/>
      <sheetName val="Dahili_İstihkak_Raporu4"/>
      <sheetName val="Nakit_Akım_Tablosu_4"/>
      <sheetName val="Bekleyen_Alacaklar_Tablosu4"/>
      <sheetName val="Bekleyen_Borclar4"/>
      <sheetName val="Personel_Durum_Ozeti4"/>
      <sheetName val="Personel_Maliyet_Özeti_USD4"/>
      <sheetName val="Finansal_tamamlanma_E?risi4"/>
      <sheetName val="303_Bord__de_base_des_prix_VRD3"/>
      <sheetName val="_N_Finansal_Eğri3"/>
      <sheetName val="DIV_23"/>
      <sheetName val="Tender_Summary3"/>
      <sheetName val="HUD_YOLU_DUVAR_8_MT3"/>
      <sheetName val="Proje_Kodları3"/>
      <sheetName val="02_Beton_Takip3"/>
      <sheetName val="1998-06_(Ruslar-Endirekt)2"/>
      <sheetName val="MALZ_LIST_2"/>
      <sheetName val="BEYAN_ARKAYÜZ1"/>
      <sheetName val="01_-_Rapor_-_Ocak_xls1"/>
      <sheetName val="01_-_Rapor_-_Ocak1"/>
      <sheetName val="Hard_and_Soft_Cost_CF1"/>
      <sheetName val="Finansal_tamamlanma_E_risi2"/>
      <sheetName val="CCP,LEYES,_Y_DEC_1"/>
      <sheetName val="Yonetici_Raporu"/>
      <sheetName val="Raw Data"/>
      <sheetName val="Database"/>
      <sheetName val="Реестр материалов Фильтрованный"/>
      <sheetName val="Реестр материалов"/>
      <sheetName val="auxДляВвода"/>
      <sheetName val="РеестрПараметровОборудования"/>
      <sheetName val="мат4.4 ОграждающиеКонструкции"/>
      <sheetName val="1_rp"/>
      <sheetName val="1rpОбор"/>
      <sheetName val="FT01-02(ANLZ)"/>
      <sheetName val="OasisGanttChart"/>
      <sheetName val="ResourcePool"/>
      <sheetName val="OrtakImalatKodlari"/>
      <sheetName val="③赤紙(日文)"/>
      <sheetName val="İstinat Duvarları"/>
      <sheetName val="cbf"/>
      <sheetName val="Cash2"/>
      <sheetName val="Z"/>
      <sheetName val="COST-TZ"/>
      <sheetName val="FRESHCAKE ELEK. HAKEDİŞ"/>
      <sheetName val="ANALIZ MEKANIK"/>
      <sheetName val="Asset Verification"/>
      <sheetName val="EQT-ESTN"/>
      <sheetName val="Materials"/>
      <sheetName val="DATA BANK"/>
      <sheetName val="ICMAL_GENEL"/>
      <sheetName val="ALCIPAN ANALIZ"/>
      <sheetName val="BA BRM FIYAT"/>
      <sheetName val="KAZI_IKSA"/>
      <sheetName val="CEPHE"/>
      <sheetName val="MOKRI FASAD"/>
      <sheetName val="NOTLAR"/>
      <sheetName val="KAPILAR"/>
      <sheetName val="ELEKTRIK_MEKANIK"/>
      <sheetName val="ELEKTRIK_MEKANIK_REV 2"/>
      <sheetName val="TOTAL"/>
      <sheetName val="Price"/>
      <sheetName val="MOS"/>
      <sheetName val="03.Kontrat Bilgileri"/>
      <sheetName val="sal"/>
      <sheetName val="Mhr&amp;Eq"/>
      <sheetName val="Konsolide 740 hesap hareketleri"/>
      <sheetName val="Aktivite Kodu Bazında Bekleyen "/>
      <sheetName val="Gündem Maliyeti"/>
      <sheetName val="Kapanmamış Siparişler Kontrol -"/>
      <sheetName val="Satir Bazli Odeme Listesi"/>
      <sheetName val="Aktivite Bazında Odeme Listesi"/>
      <sheetName val="Aktivite Bazında Stok Durum Rap"/>
      <sheetName val="Mech. Summary"/>
      <sheetName val="Personnel"/>
      <sheetName val="Katsayi"/>
      <sheetName val="Cost of MH"/>
      <sheetName val="indirek"/>
      <sheetName val="M"/>
      <sheetName val="senaryo1"/>
      <sheetName val="Katsayı"/>
      <sheetName val="PriceSummary"/>
      <sheetName val="31 EKİM 2006 PROJEKSİYON"/>
      <sheetName val="Mekanik_Elektrik"/>
      <sheetName val="BoQ"/>
      <sheetName val="PumpSpec"/>
      <sheetName val="정부노임단가"/>
      <sheetName val="Attach 4-18"/>
      <sheetName val="h-013211-2"/>
      <sheetName val="상반기손익차2총괄"/>
      <sheetName val="Rapor_Kapsamı5"/>
      <sheetName val="Proje_Hakkında_Bilgiler5"/>
      <sheetName val="Proje_Aylık_Faaliyet_Degerl_5"/>
      <sheetName val="Proje_Prog_Deg_Özeti5"/>
      <sheetName val="Finansal_tamamlanma_Eğrisi5"/>
      <sheetName val="Fiziksel_tamamlanma_Eğrisi5"/>
      <sheetName val="Butce_Degerlendirme_Ozeti5"/>
      <sheetName val="Dahili_İstihkak_Raporu5"/>
      <sheetName val="Nakit_Akım_Tablosu_5"/>
      <sheetName val="Bekleyen_Alacaklar_Tablosu5"/>
      <sheetName val="Bekleyen_Borclar5"/>
      <sheetName val="Personel_Durum_Ozeti5"/>
      <sheetName val="Personel_Maliyet_Özeti_USD5"/>
      <sheetName val="Finansal_tamamlanma_E?risi5"/>
      <sheetName val="303_Bord__de_base_des_prix_VRD4"/>
      <sheetName val="_N_Finansal_Eğri4"/>
      <sheetName val="DIV_24"/>
      <sheetName val="Tender_Summary4"/>
      <sheetName val="HUD_YOLU_DUVAR_8_MT4"/>
      <sheetName val="Proje_Kodları4"/>
      <sheetName val="02_Beton_Takip4"/>
      <sheetName val="1998-06_(Ruslar-Endirekt)3"/>
      <sheetName val="MALZ_LIST_3"/>
      <sheetName val="BEYAN_ARKAYÜZ2"/>
      <sheetName val="01_-_Rapor_-_Ocak_xls2"/>
      <sheetName val="01_-_Rapor_-_Ocak2"/>
      <sheetName val="Hard_and_Soft_Cost_CF2"/>
      <sheetName val="Finansal_tamamlanma_E_risi3"/>
      <sheetName val="CCP,LEYES,_Y_DEC_2"/>
      <sheetName val="Yonetici_Raporu1"/>
      <sheetName val="Genel"/>
      <sheetName val="Ek Bilgi"/>
      <sheetName val="TM Listesi"/>
      <sheetName val="Rapor"/>
      <sheetName val="GEN.GİD+KAR"/>
      <sheetName val="GENEL İCMAL"/>
      <sheetName val="HiPath3000"/>
      <sheetName val="Masonry Wall"/>
      <sheetName val="Precast Concrete"/>
      <sheetName val="Rip Rap"/>
      <sheetName val="keşif özeti"/>
      <sheetName val="bfk"/>
      <sheetName val="A2 Proje"/>
      <sheetName val="A7 Alet-Test"/>
      <sheetName val="DBASE"/>
      <sheetName val="A3 Ülke"/>
      <sheetName val="A4 İdari Personel"/>
      <sheetName val="A5 İşçilik"/>
      <sheetName val="E-ICMAL"/>
      <sheetName val="A1 Özet"/>
      <sheetName val="M-ICMAL"/>
      <sheetName val="DISABLED ROOM"/>
      <sheetName val="EXECUTIVE ROOM TYPE A"/>
      <sheetName val="EXECUTIVE ROOM TYPE B"/>
      <sheetName val="TYPICAL JUNIOR SUIT"/>
      <sheetName val="PRESIDENTIAL SUIT"/>
      <sheetName val="TYPICAL KING&amp;TWIN"/>
      <sheetName val="BM"/>
      <sheetName val="Esleme_bilgi"/>
      <sheetName val="Table"/>
      <sheetName val="FOH FF&amp;E"/>
      <sheetName val="KATSAYILAR"/>
      <sheetName val="GEP"/>
      <sheetName val="Otel binası"/>
      <sheetName val="TEKLIF"/>
      <sheetName val="ANLZ"/>
      <sheetName val="Bas. Es."/>
      <sheetName val="Данные"/>
      <sheetName val="БДДС"/>
      <sheetName val="CAM KORKULUK-3"/>
      <sheetName val="MONTAJ FİYATLARI"/>
      <sheetName val="#REF"/>
      <sheetName val="01"/>
      <sheetName val="dýsýplýn"/>
      <sheetName val="내역서"/>
      <sheetName val="imalat_icmal"/>
      <sheetName val="mal_onay"/>
      <sheetName val="Utilities"/>
      <sheetName val="RSA_2003_IS-5"/>
      <sheetName val="Сводная инф."/>
      <sheetName val="arka kapak"/>
      <sheetName val="Tüm Pozlar"/>
      <sheetName val="demir"/>
      <sheetName val="Makina"/>
      <sheetName val="Logistic"/>
      <sheetName val="fİYATLAR"/>
      <sheetName val="Rates"/>
      <sheetName val="Finansal_tamamlanma_E_risi4"/>
      <sheetName val="Finansal_tamamlanma_E_risi5"/>
      <sheetName val="MEKANİK KİTAP"/>
      <sheetName val="Alt Geçit-Menfez-2"/>
      <sheetName val="Katsayılar"/>
      <sheetName val="sıhhi"/>
      <sheetName val="Sheet1"/>
      <sheetName val="İhzar"/>
      <sheetName val="PROCURE"/>
      <sheetName val="SUMMARY BQ"/>
      <sheetName val="Rapor_Kapsamı6"/>
      <sheetName val="Proje_Hakkında_Bilgiler6"/>
      <sheetName val="Proje_Aylık_Faaliyet_Degerl_6"/>
      <sheetName val="Proje_Prog_Deg_Özeti6"/>
      <sheetName val="Finansal_tamamlanma_Eğrisi6"/>
      <sheetName val="Fiziksel_tamamlanma_Eğrisi6"/>
      <sheetName val="Butce_Degerlendirme_Ozeti6"/>
      <sheetName val="Dahili_İstihkak_Raporu6"/>
      <sheetName val="Nakit_Akım_Tablosu_6"/>
      <sheetName val="Bekleyen_Alacaklar_Tablosu6"/>
      <sheetName val="Bekleyen_Borclar6"/>
      <sheetName val="Personel_Durum_Ozeti6"/>
      <sheetName val="Personel_Maliyet_Özeti_USD6"/>
      <sheetName val="Finansal_tamamlanma_E?risi6"/>
      <sheetName val="303_Bord__de_base_des_prix_VRD5"/>
      <sheetName val="_N_Finansal_Eğri5"/>
      <sheetName val="DIV_25"/>
      <sheetName val="Tender_Summary5"/>
      <sheetName val="HUD_YOLU_DUVAR_8_MT5"/>
      <sheetName val="Proje_Kodları5"/>
      <sheetName val="02_Beton_Takip5"/>
      <sheetName val="1998-06_(Ruslar-Endirekt)4"/>
      <sheetName val="01_-_Rapor_-_Ocak_xls3"/>
      <sheetName val="01_-_Rapor_-_Ocak3"/>
      <sheetName val="MALZ_LIST_4"/>
      <sheetName val="CCP,LEYES,_Y_DEC_3"/>
      <sheetName val="Hard_and_Soft_Cost_CF3"/>
      <sheetName val="BEYAN_ARKAYÜZ3"/>
      <sheetName val="Yonetici_Raporu2"/>
      <sheetName val="INDIRECT_COST"/>
      <sheetName val="Raw_Data"/>
      <sheetName val="Реестр_материалов_Фильтрованный"/>
      <sheetName val="Реестр_материалов"/>
      <sheetName val="мат4_4_ОграждающиеКонструкции"/>
      <sheetName val="İstinat_Duvarları"/>
      <sheetName val="FRESHCAKE_ELEK__HAKEDİŞ"/>
      <sheetName val="ANALIZ_MEKANIK"/>
      <sheetName val="Asset_Verification"/>
      <sheetName val="DATA_BANK"/>
      <sheetName val="ALCIPAN_ANALIZ"/>
      <sheetName val="BA_BRM_FIYAT"/>
      <sheetName val="MOKRI_FASAD"/>
      <sheetName val="ELEKTRIK_MEKANIK_REV_2"/>
      <sheetName val="03_Kontrat_Bilgileri"/>
      <sheetName val="Konsolide_740_hesap_hareketleri"/>
      <sheetName val="Aktivite_Kodu_Bazında_Bekleyen_"/>
      <sheetName val="Gündem_Maliyeti"/>
      <sheetName val="Kapanmamış_Siparişler_Kontrol_-"/>
      <sheetName val="Satir_Bazli_Odeme_Listesi"/>
      <sheetName val="Aktivite_Bazında_Odeme_Listesi"/>
      <sheetName val="Aktivite_Bazında_Stok_Durum_Rap"/>
      <sheetName val="Mech__Summary"/>
      <sheetName val="Cost_of_MH"/>
      <sheetName val="31_EKİM_2006_PROJEKSİYON"/>
      <sheetName val="Ek_Bilgi"/>
      <sheetName val="TM_Listesi"/>
      <sheetName val="GEN_GİD+KAR"/>
      <sheetName val="GENEL_İCMAL"/>
      <sheetName val="Masonry_Wall"/>
      <sheetName val="Precast_Concrete"/>
      <sheetName val="Rip_Rap"/>
      <sheetName val="Attach_4-18"/>
      <sheetName val="Bech_Lab"/>
      <sheetName val="HVAC_EQP_SELECT"/>
      <sheetName val="DATA"/>
      <sheetName val="HARFLER"/>
      <sheetName val="BLOK-KEŞİF"/>
      <sheetName val="Sıhhi Tes."/>
      <sheetName val="ПиУсвод"/>
      <sheetName val="Ek-01b"/>
      <sheetName val="OFFER SUMMARY"/>
      <sheetName val="Kalite Hedefleri -tablo icin"/>
      <sheetName val="Icmal"/>
      <sheetName val="Administration"/>
      <sheetName val="Camp"/>
      <sheetName val="Preliminaries"/>
      <sheetName val="Currency"/>
      <sheetName val="BQ"/>
      <sheetName val="BQ External"/>
      <sheetName val="ÖBF.10B"/>
      <sheetName val="ÖBF.10C"/>
      <sheetName val="DEMİR İCMAL"/>
      <sheetName val="ÖBF.13"/>
      <sheetName val="ÖBF.15"/>
      <sheetName val="ÖBF.16"/>
      <sheetName val="ÖBF.17"/>
      <sheetName val="ÖBF.18"/>
      <sheetName val="ÖBF.19"/>
      <sheetName val="ÖBF.20"/>
      <sheetName val="ÖBF.04"/>
      <sheetName val="ÖBF.05"/>
      <sheetName val="ÖBF.06"/>
      <sheetName val="ÖBF.08"/>
      <sheetName val="ÖBF.09A"/>
      <sheetName val="ÖBF.09B"/>
      <sheetName val="ÖBF.09C"/>
      <sheetName val="YFZ.01"/>
      <sheetName val="YFZ.02"/>
      <sheetName val="YFZ.03"/>
      <sheetName val="YFZ.04"/>
      <sheetName val="YFZ.05"/>
      <sheetName val="YFZ.06"/>
      <sheetName val="YFZ.07"/>
      <sheetName val="YFZ.08"/>
      <sheetName val="YFZ.09"/>
      <sheetName val="KEŞİF"/>
      <sheetName val="hakedişler kaydı"/>
      <sheetName val="ihzarat"/>
      <sheetName val="AOP Summary-2"/>
      <sheetName val="1.11.b"/>
      <sheetName val="СВОДНАЯ"/>
      <sheetName val="КП Форум-Тверь"/>
      <sheetName val="КП АВФ"/>
      <sheetName val="КП Технология комфорта"/>
      <sheetName val="КП КИТ"/>
      <sheetName val="КП Мичич"/>
      <sheetName val="SubmitCal"/>
      <sheetName val="Nodes"/>
      <sheetName val="Periods"/>
      <sheetName val="Bill No.6"/>
      <sheetName val="FinansalTE"/>
      <sheetName val="Rapor_Kapsamı7"/>
      <sheetName val="Proje_Hakkında_Bilgiler7"/>
      <sheetName val="Proje_Aylık_Faaliyet_Degerl_7"/>
      <sheetName val="Proje_Prog_Deg_Özeti7"/>
      <sheetName val="Finansal_tamamlanma_Eğrisi7"/>
      <sheetName val="Fiziksel_tamamlanma_Eğrisi7"/>
      <sheetName val="Butce_Degerlendirme_Ozeti7"/>
      <sheetName val="Dahili_İstihkak_Raporu7"/>
      <sheetName val="Nakit_Akım_Tablosu_7"/>
      <sheetName val="Bekleyen_Alacaklar_Tablosu7"/>
      <sheetName val="Bekleyen_Borclar7"/>
      <sheetName val="Personel_Durum_Ozeti7"/>
      <sheetName val="Personel_Maliyet_Özeti_USD7"/>
      <sheetName val="Finansal_tamamlanma_E?risi7"/>
      <sheetName val="303_Bord__de_base_des_prix_VRD6"/>
      <sheetName val="_N_Finansal_Eğri6"/>
      <sheetName val="DIV_26"/>
      <sheetName val="Tender_Summary6"/>
      <sheetName val="HUD_YOLU_DUVAR_8_MT6"/>
      <sheetName val="Proje_Kodları6"/>
      <sheetName val="02_Beton_Takip6"/>
      <sheetName val="1998-06_(Ruslar-Endirekt)5"/>
      <sheetName val="MALZ_LIST_5"/>
      <sheetName val="01_-_Rapor_-_Ocak_xls4"/>
      <sheetName val="01_-_Rapor_-_Ocak4"/>
      <sheetName val="BEYAN_ARKAYÜZ4"/>
      <sheetName val="Hard_and_Soft_Cost_CF4"/>
      <sheetName val="Finansal_tamamlanma_E_risi6"/>
      <sheetName val="CCP,LEYES,_Y_DEC_4"/>
      <sheetName val="Yonetici_Raporu3"/>
      <sheetName val="Raw_Data1"/>
      <sheetName val="INDIRECT_COST1"/>
      <sheetName val="İstinat_Duvarları1"/>
      <sheetName val="keşif_özeti"/>
      <sheetName val="Masonry_Wall1"/>
      <sheetName val="Precast_Concrete1"/>
      <sheetName val="Rip_Rap1"/>
      <sheetName val="FRESHCAKE_ELEK__HAKEDİŞ1"/>
      <sheetName val="Tüm_Pozlar"/>
      <sheetName val="arka_kapak"/>
      <sheetName val="GENEL_İCMAL1"/>
      <sheetName val="GEN_GİD+KAR1"/>
      <sheetName val="Реестр_материалов_Фильтрованны1"/>
      <sheetName val="Реестр_материалов1"/>
      <sheetName val="мат4_4_ОграждающиеКонструкции1"/>
      <sheetName val="ANALIZ_MEKANIK1"/>
      <sheetName val="Asset_Verification1"/>
      <sheetName val="DATA_BANK1"/>
      <sheetName val="ALCIPAN_ANALIZ1"/>
      <sheetName val="BA_BRM_FIYAT1"/>
      <sheetName val="MOKRI_FASAD1"/>
      <sheetName val="ELEKTRIK_MEKANIK_REV_21"/>
      <sheetName val="Attach_4-181"/>
      <sheetName val="MEKANİK_KİTAP"/>
      <sheetName val="03_Kontrat_Bilgileri1"/>
      <sheetName val="Konsolide_740_hesap_hareketler1"/>
      <sheetName val="Aktivite_Kodu_Bazında_Bekleyen1"/>
      <sheetName val="Gündem_Maliyeti1"/>
      <sheetName val="Kapanmamış_Siparişler_Kontrol_1"/>
      <sheetName val="Satir_Bazli_Odeme_Listesi1"/>
      <sheetName val="Aktivite_Bazında_Odeme_Listesi1"/>
      <sheetName val="Aktivite_Bazında_Stok_Durum_Ra1"/>
      <sheetName val="Mech__Summary1"/>
      <sheetName val="Cost_of_MH1"/>
      <sheetName val="31_EKİM_2006_PROJEKSİYON1"/>
      <sheetName val="Ek_Bilgi1"/>
      <sheetName val="TM_Listesi1"/>
      <sheetName val="SUMMARY_BQ"/>
      <sheetName val="Alt_Geçit-Menfez-2"/>
      <sheetName val="A2_Proje"/>
      <sheetName val="A7_Alet-Test"/>
      <sheetName val="A3_Ülke"/>
      <sheetName val="A4_İdari_Personel"/>
      <sheetName val="A5_İşçilik"/>
      <sheetName val="A1_Özet"/>
      <sheetName val="DISABLED_ROOM"/>
      <sheetName val="EXECUTIVE_ROOM_TYPE_A"/>
      <sheetName val="EXECUTIVE_ROOM_TYPE_B"/>
      <sheetName val="TYPICAL_JUNIOR_SUIT"/>
      <sheetName val="PRESIDENTIAL_SUIT"/>
      <sheetName val="TYPICAL_KING&amp;TWIN"/>
      <sheetName val="FOH_FF&amp;E"/>
      <sheetName val="Otel_binası"/>
      <sheetName val="OFFER_SUMMARY"/>
      <sheetName val="CAM_KORKULUK-3"/>
      <sheetName val="MONTAJ_FİYATLARI"/>
      <sheetName val="Bas__Es_"/>
      <sheetName val="Kalite_Hedefleri_-tablo_icin"/>
      <sheetName val="ÖBF_10B"/>
      <sheetName val="ÖBF_10C"/>
      <sheetName val="DEMİR_İCMAL"/>
      <sheetName val="ÖBF_13"/>
      <sheetName val="ÖBF_15"/>
      <sheetName val="ÖBF_16"/>
      <sheetName val="ÖBF_17"/>
      <sheetName val="ÖBF_18"/>
      <sheetName val="ÖBF_19"/>
      <sheetName val="ÖBF_20"/>
      <sheetName val="ÖBF_04"/>
      <sheetName val="ÖBF_05"/>
      <sheetName val="ÖBF_06"/>
      <sheetName val="ÖBF_08"/>
      <sheetName val="ÖBF_09A"/>
      <sheetName val="ÖBF_09B"/>
      <sheetName val="ÖBF_09C"/>
      <sheetName val="YFZ_01"/>
      <sheetName val="YFZ_02"/>
      <sheetName val="YFZ_03"/>
      <sheetName val="YFZ_04"/>
      <sheetName val="YFZ_05"/>
      <sheetName val="YFZ_06"/>
      <sheetName val="YFZ_07"/>
      <sheetName val="YFZ_08"/>
      <sheetName val="YFZ_09"/>
      <sheetName val="hakedişler_kaydı"/>
      <sheetName val="Сводная_инф_"/>
      <sheetName val="AOP_Summary-2"/>
      <sheetName val="1_11_b"/>
      <sheetName val="Sıhhi_Tes_"/>
      <sheetName val="BQ_External"/>
      <sheetName val="Bill_No_6"/>
      <sheetName val="jobhist"/>
      <sheetName val="yENİCE"/>
      <sheetName val="Categories"/>
      <sheetName val="Rapor_Kapsamı8"/>
      <sheetName val="Proje_Hakkında_Bilgiler8"/>
      <sheetName val="Proje_Aylık_Faaliyet_Degerl_8"/>
      <sheetName val="Proje_Prog_Deg_Özeti8"/>
      <sheetName val="Finansal_tamamlanma_Eğrisi8"/>
      <sheetName val="Fiziksel_tamamlanma_Eğrisi8"/>
      <sheetName val="Butce_Degerlendirme_Ozeti8"/>
      <sheetName val="Dahili_İstihkak_Raporu8"/>
      <sheetName val="Nakit_Akım_Tablosu_8"/>
      <sheetName val="Bekleyen_Alacaklar_Tablosu8"/>
      <sheetName val="Bekleyen_Borclar8"/>
      <sheetName val="Personel_Durum_Ozeti8"/>
      <sheetName val="Personel_Maliyet_Özeti_USD8"/>
      <sheetName val="Finansal_tamamlanma_E?risi8"/>
      <sheetName val="303_Bord__de_base_des_prix_VRD7"/>
      <sheetName val="_N_Finansal_Eğri7"/>
      <sheetName val="DIV_27"/>
      <sheetName val="Tender_Summary7"/>
      <sheetName val="HUD_YOLU_DUVAR_8_MT7"/>
      <sheetName val="Proje_Kodları7"/>
      <sheetName val="02_Beton_Takip7"/>
      <sheetName val="1998-06_(Ruslar-Endirekt)6"/>
      <sheetName val="MALZ_LIST_6"/>
      <sheetName val="01_-_Rapor_-_Ocak_xls5"/>
      <sheetName val="01_-_Rapor_-_Ocak5"/>
      <sheetName val="BEYAN_ARKAYÜZ5"/>
      <sheetName val="Finansal_tamamlanma_E_risi7"/>
      <sheetName val="CCP,LEYES,_Y_DEC_5"/>
      <sheetName val="Hard_and_Soft_Cost_CF5"/>
      <sheetName val="Yonetici_Raporu4"/>
      <sheetName val="Raw_Data2"/>
      <sheetName val="INDIRECT_COST2"/>
      <sheetName val="İstinat_Duvarları2"/>
      <sheetName val="keşif_özeti1"/>
      <sheetName val="Masonry_Wall2"/>
      <sheetName val="Precast_Concrete2"/>
      <sheetName val="Rip_Rap2"/>
      <sheetName val="arka_kapak1"/>
      <sheetName val="FRESHCAKE_ELEK__HAKEDİŞ2"/>
      <sheetName val="Tüm_Pozlar1"/>
      <sheetName val="ANALIZ_MEKANIK2"/>
      <sheetName val="GENEL_İCMAL2"/>
      <sheetName val="GEN_GİD+KAR2"/>
      <sheetName val="Реестр_материалов_Фильтрованны2"/>
      <sheetName val="Реестр_материалов2"/>
      <sheetName val="мат4_4_ОграждающиеКонструкции2"/>
      <sheetName val="Asset_Verification2"/>
      <sheetName val="DATA_BANK2"/>
      <sheetName val="ALCIPAN_ANALIZ2"/>
      <sheetName val="BA_BRM_FIYAT2"/>
      <sheetName val="MOKRI_FASAD2"/>
      <sheetName val="ELEKTRIK_MEKANIK_REV_22"/>
      <sheetName val="Attach_4-182"/>
      <sheetName val="MEKANİK_KİTAP1"/>
      <sheetName val="03_Kontrat_Bilgileri2"/>
      <sheetName val="Konsolide_740_hesap_hareketler2"/>
      <sheetName val="Aktivite_Kodu_Bazında_Bekleyen2"/>
      <sheetName val="Gündem_Maliyeti2"/>
      <sheetName val="Kapanmamış_Siparişler_Kontrol_2"/>
      <sheetName val="Satir_Bazli_Odeme_Listesi2"/>
      <sheetName val="Aktivite_Bazında_Odeme_Listesi2"/>
      <sheetName val="Aktivite_Bazında_Stok_Durum_Ra2"/>
      <sheetName val="Mech__Summary2"/>
      <sheetName val="Cost_of_MH2"/>
      <sheetName val="31_EKİM_2006_PROJEKSİYON2"/>
      <sheetName val="Ek_Bilgi2"/>
      <sheetName val="TM_Listesi2"/>
      <sheetName val="A2_Proje1"/>
      <sheetName val="A7_Alet-Test1"/>
      <sheetName val="A3_Ülke1"/>
      <sheetName val="A4_İdari_Personel1"/>
      <sheetName val="A5_İşçilik1"/>
      <sheetName val="A1_Özet1"/>
      <sheetName val="DISABLED_ROOM1"/>
      <sheetName val="EXECUTIVE_ROOM_TYPE_A1"/>
      <sheetName val="EXECUTIVE_ROOM_TYPE_B1"/>
      <sheetName val="TYPICAL_JUNIOR_SUIT1"/>
      <sheetName val="PRESIDENTIAL_SUIT1"/>
      <sheetName val="TYPICAL_KING&amp;TWIN1"/>
      <sheetName val="FOH_FF&amp;E1"/>
      <sheetName val="Alt_Geçit-Menfez-21"/>
      <sheetName val="SUMMARY_BQ1"/>
      <sheetName val="Otel_binası1"/>
      <sheetName val="OFFER_SUMMARY1"/>
      <sheetName val="CAM_KORKULUK-31"/>
      <sheetName val="MONTAJ_FİYATLARI1"/>
      <sheetName val="Bas__Es_1"/>
      <sheetName val="Kalite_Hedefleri_-tablo_icin1"/>
      <sheetName val="ÖBF_10B1"/>
      <sheetName val="ÖBF_10C1"/>
      <sheetName val="DEMİR_İCMAL1"/>
      <sheetName val="ÖBF_131"/>
      <sheetName val="ÖBF_151"/>
      <sheetName val="ÖBF_161"/>
      <sheetName val="ÖBF_171"/>
      <sheetName val="ÖBF_181"/>
      <sheetName val="ÖBF_191"/>
      <sheetName val="ÖBF_201"/>
      <sheetName val="ÖBF_041"/>
      <sheetName val="ÖBF_051"/>
      <sheetName val="ÖBF_061"/>
      <sheetName val="ÖBF_081"/>
      <sheetName val="ÖBF_09A1"/>
      <sheetName val="ÖBF_09B1"/>
      <sheetName val="ÖBF_09C1"/>
      <sheetName val="YFZ_011"/>
      <sheetName val="YFZ_021"/>
      <sheetName val="YFZ_031"/>
      <sheetName val="YFZ_041"/>
      <sheetName val="YFZ_051"/>
      <sheetName val="YFZ_061"/>
      <sheetName val="YFZ_071"/>
      <sheetName val="YFZ_081"/>
      <sheetName val="YFZ_091"/>
      <sheetName val="hakedişler_kaydı1"/>
      <sheetName val="Сводная_инф_1"/>
      <sheetName val="AOP_Summary-21"/>
      <sheetName val="1_11_b1"/>
      <sheetName val="Sıhhi_Tes_1"/>
      <sheetName val="BQ_External1"/>
      <sheetName val="Bill_No_61"/>
      <sheetName val="Keşif-I"/>
      <sheetName val="SÖZLEŞME"/>
      <sheetName val="B03-C"/>
      <sheetName val="Sheet2"/>
      <sheetName val="Rapor_Kapsamı10"/>
      <sheetName val="Proje_Hakkında_Bilgiler10"/>
      <sheetName val="Proje_Aylık_Faaliyet_Degerl_10"/>
      <sheetName val="Proje_Prog_Deg_Özeti10"/>
      <sheetName val="Finansal_tamamlanma_Eğrisi10"/>
      <sheetName val="Fiziksel_tamamlanma_Eğrisi10"/>
      <sheetName val="Butce_Degerlendirme_Ozeti10"/>
      <sheetName val="Dahili_İstihkak_Raporu10"/>
      <sheetName val="Nakit_Akım_Tablosu_10"/>
      <sheetName val="Bekleyen_Alacaklar_Tablosu10"/>
      <sheetName val="Bekleyen_Borclar10"/>
      <sheetName val="Personel_Durum_Ozeti10"/>
      <sheetName val="Personel_Maliyet_Özeti_USD10"/>
      <sheetName val="Finansal_tamamlanma_E?risi10"/>
      <sheetName val="303_Bord__de_base_des_prix_VRD9"/>
      <sheetName val="_N_Finansal_Eğri9"/>
      <sheetName val="DIV_29"/>
      <sheetName val="Tender_Summary9"/>
      <sheetName val="HUD_YOLU_DUVAR_8_MT9"/>
      <sheetName val="Proje_Kodları9"/>
      <sheetName val="02_Beton_Takip9"/>
      <sheetName val="1998-06_(Ruslar-Endirekt)8"/>
      <sheetName val="MALZ_LIST_8"/>
      <sheetName val="01_-_Rapor_-_Ocak_xls7"/>
      <sheetName val="01_-_Rapor_-_Ocak7"/>
      <sheetName val="BEYAN_ARKAYÜZ7"/>
      <sheetName val="Finansal_tamamlanma_E_risi9"/>
      <sheetName val="CCP,LEYES,_Y_DEC_7"/>
      <sheetName val="Hard_and_Soft_Cost_CF7"/>
      <sheetName val="Yonetici_Raporu6"/>
      <sheetName val="Raw_Data4"/>
      <sheetName val="INDIRECT_COST4"/>
      <sheetName val="İstinat_Duvarları4"/>
      <sheetName val="keşif_özeti3"/>
      <sheetName val="Masonry_Wall4"/>
      <sheetName val="Precast_Concrete4"/>
      <sheetName val="Rip_Rap4"/>
      <sheetName val="arka_kapak3"/>
      <sheetName val="FRESHCAKE_ELEK__HAKEDİŞ4"/>
      <sheetName val="Tüm_Pozlar3"/>
      <sheetName val="ANALIZ_MEKANIK4"/>
      <sheetName val="GENEL_İCMAL4"/>
      <sheetName val="GEN_GİD+KAR4"/>
      <sheetName val="Реестр_материалов_Фильтрованны4"/>
      <sheetName val="Реестр_материалов4"/>
      <sheetName val="мат4_4_ОграждающиеКонструкции4"/>
      <sheetName val="Asset_Verification4"/>
      <sheetName val="DATA_BANK4"/>
      <sheetName val="ALCIPAN_ANALIZ4"/>
      <sheetName val="BA_BRM_FIYAT4"/>
      <sheetName val="MOKRI_FASAD4"/>
      <sheetName val="ELEKTRIK_MEKANIK_REV_24"/>
      <sheetName val="Attach_4-184"/>
      <sheetName val="MEKANİK_KİTAP3"/>
      <sheetName val="03_Kontrat_Bilgileri4"/>
      <sheetName val="Konsolide_740_hesap_hareketler4"/>
      <sheetName val="Aktivite_Kodu_Bazında_Bekleyen4"/>
      <sheetName val="Gündem_Maliyeti4"/>
      <sheetName val="Kapanmamış_Siparişler_Kontrol_4"/>
      <sheetName val="Satir_Bazli_Odeme_Listesi4"/>
      <sheetName val="Aktivite_Bazında_Odeme_Listesi4"/>
      <sheetName val="Aktivite_Bazında_Stok_Durum_Ra4"/>
      <sheetName val="Mech__Summary4"/>
      <sheetName val="Cost_of_MH4"/>
      <sheetName val="31_EKİM_2006_PROJEKSİYON4"/>
      <sheetName val="Ek_Bilgi4"/>
      <sheetName val="TM_Listesi4"/>
      <sheetName val="A2_Proje3"/>
      <sheetName val="A7_Alet-Test3"/>
      <sheetName val="A3_Ülke3"/>
      <sheetName val="A4_İdari_Personel3"/>
      <sheetName val="A5_İşçilik3"/>
      <sheetName val="A1_Özet3"/>
      <sheetName val="DISABLED_ROOM3"/>
      <sheetName val="EXECUTIVE_ROOM_TYPE_A3"/>
      <sheetName val="EXECUTIVE_ROOM_TYPE_B3"/>
      <sheetName val="TYPICAL_JUNIOR_SUIT3"/>
      <sheetName val="PRESIDENTIAL_SUIT3"/>
      <sheetName val="TYPICAL_KING&amp;TWIN3"/>
      <sheetName val="FOH_FF&amp;E3"/>
      <sheetName val="Alt_Geçit-Menfez-23"/>
      <sheetName val="SUMMARY_BQ3"/>
      <sheetName val="Otel_binası3"/>
      <sheetName val="OFFER_SUMMARY3"/>
      <sheetName val="CAM_KORKULUK-33"/>
      <sheetName val="MONTAJ_FİYATLARI3"/>
      <sheetName val="Bas__Es_3"/>
      <sheetName val="Kalite_Hedefleri_-tablo_icin3"/>
      <sheetName val="ÖBF_10B3"/>
      <sheetName val="ÖBF_10C3"/>
      <sheetName val="DEMİR_İCMAL3"/>
      <sheetName val="ÖBF_133"/>
      <sheetName val="ÖBF_153"/>
      <sheetName val="ÖBF_163"/>
      <sheetName val="ÖBF_173"/>
      <sheetName val="ÖBF_183"/>
      <sheetName val="ÖBF_193"/>
      <sheetName val="ÖBF_203"/>
      <sheetName val="ÖBF_043"/>
      <sheetName val="ÖBF_053"/>
      <sheetName val="ÖBF_063"/>
      <sheetName val="ÖBF_083"/>
      <sheetName val="ÖBF_09A3"/>
      <sheetName val="ÖBF_09B3"/>
      <sheetName val="ÖBF_09C3"/>
      <sheetName val="YFZ_013"/>
      <sheetName val="YFZ_023"/>
      <sheetName val="YFZ_033"/>
      <sheetName val="YFZ_043"/>
      <sheetName val="YFZ_053"/>
      <sheetName val="YFZ_063"/>
      <sheetName val="YFZ_073"/>
      <sheetName val="YFZ_083"/>
      <sheetName val="YFZ_093"/>
      <sheetName val="hakedişler_kaydı3"/>
      <sheetName val="Сводная_инф_3"/>
      <sheetName val="AOP_Summary-23"/>
      <sheetName val="1_11_b3"/>
      <sheetName val="Sıhhi_Tes_3"/>
      <sheetName val="BQ_External3"/>
      <sheetName val="Bill_No_63"/>
      <sheetName val="Rapor_Kapsamı9"/>
      <sheetName val="Proje_Hakkında_Bilgiler9"/>
      <sheetName val="Proje_Aylık_Faaliyet_Degerl_9"/>
      <sheetName val="Proje_Prog_Deg_Özeti9"/>
      <sheetName val="Finansal_tamamlanma_Eğrisi9"/>
      <sheetName val="Fiziksel_tamamlanma_Eğrisi9"/>
      <sheetName val="Butce_Degerlendirme_Ozeti9"/>
      <sheetName val="Dahili_İstihkak_Raporu9"/>
      <sheetName val="Nakit_Akım_Tablosu_9"/>
      <sheetName val="Bekleyen_Alacaklar_Tablosu9"/>
      <sheetName val="Bekleyen_Borclar9"/>
      <sheetName val="Personel_Durum_Ozeti9"/>
      <sheetName val="Personel_Maliyet_Özeti_USD9"/>
      <sheetName val="Finansal_tamamlanma_E?risi9"/>
      <sheetName val="303_Bord__de_base_des_prix_VRD8"/>
      <sheetName val="_N_Finansal_Eğri8"/>
      <sheetName val="DIV_28"/>
      <sheetName val="Tender_Summary8"/>
      <sheetName val="HUD_YOLU_DUVAR_8_MT8"/>
      <sheetName val="Proje_Kodları8"/>
      <sheetName val="02_Beton_Takip8"/>
      <sheetName val="1998-06_(Ruslar-Endirekt)7"/>
      <sheetName val="MALZ_LIST_7"/>
      <sheetName val="01_-_Rapor_-_Ocak_xls6"/>
      <sheetName val="01_-_Rapor_-_Ocak6"/>
      <sheetName val="BEYAN_ARKAYÜZ6"/>
      <sheetName val="Finansal_tamamlanma_E_risi8"/>
      <sheetName val="CCP,LEYES,_Y_DEC_6"/>
      <sheetName val="Hard_and_Soft_Cost_CF6"/>
      <sheetName val="Yonetici_Raporu5"/>
      <sheetName val="Raw_Data3"/>
      <sheetName val="INDIRECT_COST3"/>
      <sheetName val="İstinat_Duvarları3"/>
      <sheetName val="keşif_özeti2"/>
      <sheetName val="Masonry_Wall3"/>
      <sheetName val="Precast_Concrete3"/>
      <sheetName val="Rip_Rap3"/>
      <sheetName val="arka_kapak2"/>
      <sheetName val="FRESHCAKE_ELEK__HAKEDİŞ3"/>
      <sheetName val="Tüm_Pozlar2"/>
      <sheetName val="ANALIZ_MEKANIK3"/>
      <sheetName val="GENEL_İCMAL3"/>
      <sheetName val="GEN_GİD+KAR3"/>
      <sheetName val="Реестр_материалов_Фильтрованны3"/>
      <sheetName val="Реестр_материалов3"/>
      <sheetName val="мат4_4_ОграждающиеКонструкции3"/>
      <sheetName val="Asset_Verification3"/>
      <sheetName val="DATA_BANK3"/>
      <sheetName val="ALCIPAN_ANALIZ3"/>
      <sheetName val="BA_BRM_FIYAT3"/>
      <sheetName val="MOKRI_FASAD3"/>
      <sheetName val="ELEKTRIK_MEKANIK_REV_23"/>
      <sheetName val="Attach_4-183"/>
      <sheetName val="MEKANİK_KİTAP2"/>
      <sheetName val="03_Kontrat_Bilgileri3"/>
      <sheetName val="Konsolide_740_hesap_hareketler3"/>
      <sheetName val="Aktivite_Kodu_Bazında_Bekleyen3"/>
      <sheetName val="Gündem_Maliyeti3"/>
      <sheetName val="Kapanmamış_Siparişler_Kontrol_3"/>
      <sheetName val="Satir_Bazli_Odeme_Listesi3"/>
      <sheetName val="Aktivite_Bazında_Odeme_Listesi3"/>
      <sheetName val="Aktivite_Bazında_Stok_Durum_Ra3"/>
      <sheetName val="Mech__Summary3"/>
      <sheetName val="Cost_of_MH3"/>
      <sheetName val="31_EKİM_2006_PROJEKSİYON3"/>
      <sheetName val="Ek_Bilgi3"/>
      <sheetName val="TM_Listesi3"/>
      <sheetName val="A2_Proje2"/>
      <sheetName val="A7_Alet-Test2"/>
      <sheetName val="A3_Ülke2"/>
      <sheetName val="A4_İdari_Personel2"/>
      <sheetName val="A5_İşçilik2"/>
      <sheetName val="A1_Özet2"/>
      <sheetName val="DISABLED_ROOM2"/>
      <sheetName val="EXECUTIVE_ROOM_TYPE_A2"/>
      <sheetName val="EXECUTIVE_ROOM_TYPE_B2"/>
      <sheetName val="TYPICAL_JUNIOR_SUIT2"/>
      <sheetName val="PRESIDENTIAL_SUIT2"/>
      <sheetName val="TYPICAL_KING&amp;TWIN2"/>
      <sheetName val="FOH_FF&amp;E2"/>
      <sheetName val="Alt_Geçit-Menfez-22"/>
      <sheetName val="SUMMARY_BQ2"/>
      <sheetName val="Otel_binası2"/>
      <sheetName val="OFFER_SUMMARY2"/>
      <sheetName val="CAM_KORKULUK-32"/>
      <sheetName val="MONTAJ_FİYATLARI2"/>
      <sheetName val="Bas__Es_2"/>
      <sheetName val="Kalite_Hedefleri_-tablo_icin2"/>
      <sheetName val="ÖBF_10B2"/>
      <sheetName val="ÖBF_10C2"/>
      <sheetName val="DEMİR_İCMAL2"/>
      <sheetName val="ÖBF_132"/>
      <sheetName val="ÖBF_152"/>
      <sheetName val="ÖBF_162"/>
      <sheetName val="ÖBF_172"/>
      <sheetName val="ÖBF_182"/>
      <sheetName val="ÖBF_192"/>
      <sheetName val="ÖBF_202"/>
      <sheetName val="ÖBF_042"/>
      <sheetName val="ÖBF_052"/>
      <sheetName val="ÖBF_062"/>
      <sheetName val="ÖBF_082"/>
      <sheetName val="ÖBF_09A2"/>
      <sheetName val="ÖBF_09B2"/>
      <sheetName val="ÖBF_09C2"/>
      <sheetName val="YFZ_012"/>
      <sheetName val="YFZ_022"/>
      <sheetName val="YFZ_032"/>
      <sheetName val="YFZ_042"/>
      <sheetName val="YFZ_052"/>
      <sheetName val="YFZ_062"/>
      <sheetName val="YFZ_072"/>
      <sheetName val="YFZ_082"/>
      <sheetName val="YFZ_092"/>
      <sheetName val="hakedişler_kaydı2"/>
      <sheetName val="Сводная_инф_2"/>
      <sheetName val="AOP_Summary-22"/>
      <sheetName val="1_11_b2"/>
      <sheetName val="Sıhhi_Tes_2"/>
      <sheetName val="BQ_External2"/>
      <sheetName val="Bill_No_62"/>
      <sheetName val="실행철강하도"/>
      <sheetName val="Sheet3"/>
      <sheetName val="Testing"/>
      <sheetName val="입찰안"/>
      <sheetName val="Coeff"/>
      <sheetName val="자압"/>
      <sheetName val="Calculation Sheet"/>
      <sheetName val="汇率"/>
      <sheetName val="Malzeme Takip"/>
      <sheetName val="KONAK"/>
      <sheetName val="İCMAL MARMARA"/>
      <sheetName val="Indirects"/>
      <sheetName val="dir_"/>
      <sheetName val="8.SPLİT"/>
      <sheetName val="Information"/>
      <sheetName val="kur-parite"/>
      <sheetName val="TEKLİF - BOQ"/>
      <sheetName val="ŞBK.İCM."/>
      <sheetName val="Ödeme Sayfası"/>
      <sheetName val="İ.İşler"/>
      <sheetName val="Kesintiler"/>
      <sheetName val="İLAVE İŞLER"/>
      <sheetName val="Kapama Perdeleri"/>
      <sheetName val="Kalıp"/>
      <sheetName val="Nakit Teminat Kesintisi"/>
      <sheetName val="KEPENK METRAJ"/>
      <sheetName val="HAKEDİŞ İCMAL"/>
      <sheetName val="TL Yazma"/>
      <sheetName val="Requirements"/>
      <sheetName val="04.Schedule"/>
      <sheetName val="Kabuller"/>
      <sheetName val="1"/>
      <sheetName val="DEGISKENLER"/>
      <sheetName val="PLAN_FEB97"/>
      <sheetName val="БДР"/>
      <sheetName val="Rapor_Kapsamı11"/>
      <sheetName val="Proje_Hakkında_Bilgiler11"/>
      <sheetName val="Proje_Aylık_Faaliyet_Degerl_11"/>
      <sheetName val="Proje_Prog_Deg_Özeti11"/>
      <sheetName val="Finansal_tamamlanma_Eğrisi11"/>
      <sheetName val="Fiziksel_tamamlanma_Eğrisi11"/>
      <sheetName val="Butce_Degerlendirme_Ozeti11"/>
      <sheetName val="Dahili_İstihkak_Raporu11"/>
      <sheetName val="Nakit_Akım_Tablosu_11"/>
      <sheetName val="Bekleyen_Alacaklar_Tablosu11"/>
      <sheetName val="Bekleyen_Borclar11"/>
      <sheetName val="Personel_Durum_Ozeti11"/>
      <sheetName val="Personel_Maliyet_Özeti_USD11"/>
      <sheetName val="Finansal_tamamlanma_E?risi11"/>
      <sheetName val="303_Bord__de_base_des_prix_VR10"/>
      <sheetName val="_N_Finansal_Eğri10"/>
      <sheetName val="DIV_210"/>
      <sheetName val="Tender_Summary10"/>
      <sheetName val="HUD_YOLU_DUVAR_8_MT10"/>
      <sheetName val="Proje_Kodları10"/>
      <sheetName val="02_Beton_Takip10"/>
      <sheetName val="1998-06_(Ruslar-Endirekt)9"/>
      <sheetName val="01_-_Rapor_-_Ocak_xls8"/>
      <sheetName val="01_-_Rapor_-_Ocak8"/>
      <sheetName val="MALZ_LIST_9"/>
      <sheetName val="BEYAN_ARKAYÜZ8"/>
      <sheetName val="Finansal_tamamlanma_E_risi10"/>
      <sheetName val="CCP,LEYES,_Y_DEC_8"/>
      <sheetName val="Hard_and_Soft_Cost_CF8"/>
      <sheetName val="Yonetici_Raporu7"/>
      <sheetName val="INDIRECT_COST5"/>
      <sheetName val="Raw_Data5"/>
      <sheetName val="ANALIZ_MEKANIK5"/>
      <sheetName val="03_Kontrat_Bilgileri5"/>
      <sheetName val="Konsolide_740_hesap_hareketler5"/>
      <sheetName val="Aktivite_Kodu_Bazında_Bekleyen5"/>
      <sheetName val="Gündem_Maliyeti5"/>
      <sheetName val="Kapanmamış_Siparişler_Kontrol_5"/>
      <sheetName val="Satir_Bazli_Odeme_Listesi5"/>
      <sheetName val="Aktivite_Bazında_Odeme_Listesi5"/>
      <sheetName val="Aktivite_Bazında_Stok_Durum_Ra5"/>
      <sheetName val="İstinat_Duvarları5"/>
      <sheetName val="FRESHCAKE_ELEK__HAKEDİŞ5"/>
      <sheetName val="Реестр_материалов_Фильтрованны5"/>
      <sheetName val="Реестр_материалов5"/>
      <sheetName val="мат4_4_ОграждающиеКонструкции5"/>
      <sheetName val="DATA_BANK5"/>
      <sheetName val="ALCIPAN_ANALIZ5"/>
      <sheetName val="BA_BRM_FIYAT5"/>
      <sheetName val="MOKRI_FASAD5"/>
      <sheetName val="ELEKTRIK_MEKANIK_REV_25"/>
      <sheetName val="31_EKİM_2006_PROJEKSİYON5"/>
      <sheetName val="Asset_Verification5"/>
      <sheetName val="Mech__Summary5"/>
      <sheetName val="Bas__Es_4"/>
      <sheetName val="Cost_of_MH5"/>
      <sheetName val="Ek_Bilgi5"/>
      <sheetName val="TM_Listesi5"/>
      <sheetName val="GEN_GİD+KAR5"/>
      <sheetName val="GENEL_İCMAL5"/>
      <sheetName val="Masonry_Wall5"/>
      <sheetName val="Precast_Concrete5"/>
      <sheetName val="Rip_Rap5"/>
      <sheetName val="Attach_4-185"/>
      <sheetName val="FOH_FF&amp;E4"/>
      <sheetName val="Otel_binası4"/>
      <sheetName val="keşif_özeti4"/>
      <sheetName val="CAM_KORKULUK-34"/>
      <sheetName val="MONTAJ_FİYATLARI4"/>
      <sheetName val="Сводная_инф_4"/>
      <sheetName val="arka_kapak4"/>
      <sheetName val="Tüm_Pozlar4"/>
      <sheetName val="MEKANİK_KİTAP4"/>
      <sheetName val="Alt_Geçit-Menfez-24"/>
      <sheetName val="Sıhhi_Tes_4"/>
      <sheetName val="SUMMARY_BQ4"/>
      <sheetName val="A2_Proje4"/>
      <sheetName val="A7_Alet-Test4"/>
      <sheetName val="A3_Ülke4"/>
      <sheetName val="A4_İdari_Personel4"/>
      <sheetName val="A5_İşçilik4"/>
      <sheetName val="A1_Özet4"/>
      <sheetName val="DISABLED_ROOM4"/>
      <sheetName val="EXECUTIVE_ROOM_TYPE_A4"/>
      <sheetName val="EXECUTIVE_ROOM_TYPE_B4"/>
      <sheetName val="TYPICAL_JUNIOR_SUIT4"/>
      <sheetName val="PRESIDENTIAL_SUIT4"/>
      <sheetName val="TYPICAL_KING&amp;TWIN4"/>
      <sheetName val="OFFER_SUMMARY4"/>
      <sheetName val="Kalite_Hedefleri_-tablo_icin4"/>
      <sheetName val="ÖBF_10B4"/>
      <sheetName val="ÖBF_10C4"/>
      <sheetName val="DEMİR_İCMAL4"/>
      <sheetName val="ÖBF_134"/>
      <sheetName val="ÖBF_154"/>
      <sheetName val="ÖBF_164"/>
      <sheetName val="ÖBF_174"/>
      <sheetName val="ÖBF_184"/>
      <sheetName val="ÖBF_194"/>
      <sheetName val="ÖBF_204"/>
      <sheetName val="ÖBF_044"/>
      <sheetName val="ÖBF_054"/>
      <sheetName val="ÖBF_064"/>
      <sheetName val="ÖBF_084"/>
      <sheetName val="ÖBF_09A4"/>
      <sheetName val="ÖBF_09B4"/>
      <sheetName val="ÖBF_09C4"/>
      <sheetName val="YFZ_014"/>
      <sheetName val="YFZ_024"/>
      <sheetName val="YFZ_034"/>
      <sheetName val="YFZ_044"/>
      <sheetName val="YFZ_054"/>
      <sheetName val="YFZ_064"/>
      <sheetName val="YFZ_074"/>
      <sheetName val="YFZ_084"/>
      <sheetName val="YFZ_094"/>
      <sheetName val="hakedişler_kaydı4"/>
      <sheetName val="AOP_Summary-24"/>
      <sheetName val="1_11_b4"/>
      <sheetName val="BQ_External4"/>
      <sheetName val="КП_Форум-Тверь"/>
      <sheetName val="КП_АВФ"/>
      <sheetName val="КП_Технология_комфорта"/>
      <sheetName val="КП_КИТ"/>
      <sheetName val="КП_Мичич"/>
      <sheetName val="Bill_No_64"/>
      <sheetName val="16"/>
      <sheetName val="50"/>
      <sheetName val="Variables"/>
      <sheetName val="G1 Sheet"/>
      <sheetName val="CASH-FLOW"/>
      <sheetName val="tablolar"/>
      <sheetName val="Cable Tray"/>
      <sheetName val="Off gas ex Platformer"/>
      <sheetName val="F.D."/>
      <sheetName val="bsat muflu"/>
      <sheetName val="Лист1"/>
      <sheetName val="KM KANATLI"/>
      <sheetName val="Summary"/>
      <sheetName val="Info"/>
      <sheetName val="n ПВА"/>
      <sheetName val="Summary Coefficients"/>
      <sheetName val="План3"/>
      <sheetName val="_x0000_"/>
      <sheetName val="Assumptions"/>
      <sheetName val="MP&amp;Costs"/>
      <sheetName val="Overtime"/>
      <sheetName val="WorkUniform"/>
      <sheetName val="Genel Ozet"/>
      <sheetName val="MTO"/>
      <sheetName val="laroux"/>
      <sheetName val="eqpmad2"/>
      <sheetName val="İCMAL_MARMARA"/>
      <sheetName val="Calculation_Sheet"/>
      <sheetName val="Malzeme_Takip"/>
      <sheetName val="8_SPLİT"/>
      <sheetName val="04_Schedule"/>
      <sheetName val="ŞBK_İCM_"/>
      <sheetName val="Ödeme_Sayfası"/>
      <sheetName val="İ_İşler"/>
      <sheetName val="İLAVE_İŞLER"/>
      <sheetName val="Kapama_Perdeleri"/>
      <sheetName val="Nakit_Teminat_Kesintisi"/>
      <sheetName val="KEPENK_METRAJ"/>
      <sheetName val="HAKEDİŞ_İCMAL"/>
      <sheetName val="TL_Yazma"/>
      <sheetName val="Veri"/>
      <sheetName val="Yeşil.Defter.Kapak"/>
      <sheetName val="ÇARPAN"/>
      <sheetName val="갑지(추정)"/>
      <sheetName val="ADANA"/>
      <sheetName val="ADASATIS"/>
      <sheetName val="BCALISMATABLOSU"/>
      <sheetName val="EDSATIS"/>
      <sheetName val="GEBSATIS"/>
      <sheetName val="IZSATIS"/>
      <sheetName val="SATIŞ ÇALIŞMA"/>
      <sheetName val="backbone_teklif"/>
      <sheetName val="MFO END.BUTCE (guncel)"/>
      <sheetName val="TIE-INS"/>
      <sheetName val="간접비 총괄표"/>
      <sheetName val="IBC(2006)DATA"/>
      <sheetName val="Alternator"/>
      <sheetName val="HORI. VESSEL"/>
      <sheetName val="WeightTable"/>
      <sheetName val="CURVES BY VENDOR"/>
      <sheetName val="топография"/>
      <sheetName val="Finansal_tamamlanma_E_risi11"/>
      <sheetName val="공문"/>
      <sheetName val="土建"/>
      <sheetName val="CAPEX"/>
      <sheetName val="附件9-1-土建取费表"/>
      <sheetName val="材料"/>
      <sheetName val="Load List2"/>
      <sheetName val="x"/>
      <sheetName val="Rapor_Kapsamı12"/>
      <sheetName val="Proje_Hakkında_Bilgiler12"/>
      <sheetName val="Proje_Aylık_Faaliyet_Degerl_12"/>
      <sheetName val="Proje_Prog_Deg_Özeti12"/>
      <sheetName val="Finansal_tamamlanma_Eğrisi12"/>
      <sheetName val="Fiziksel_tamamlanma_Eğrisi12"/>
      <sheetName val="Butce_Degerlendirme_Ozeti12"/>
      <sheetName val="Dahili_İstihkak_Raporu12"/>
      <sheetName val="Nakit_Akım_Tablosu_12"/>
      <sheetName val="Bekleyen_Alacaklar_Tablosu12"/>
      <sheetName val="Bekleyen_Borclar12"/>
      <sheetName val="Personel_Durum_Ozeti12"/>
      <sheetName val="Personel_Maliyet_Özeti_USD12"/>
      <sheetName val="Finansal_tamamlanma_E?risi12"/>
      <sheetName val="303_Bord__de_base_des_prix_VR11"/>
      <sheetName val="_N_Finansal_Eğri11"/>
      <sheetName val="DIV_211"/>
      <sheetName val="Tender_Summary11"/>
      <sheetName val="HUD_YOLU_DUVAR_8_MT11"/>
      <sheetName val="Proje_Kodları11"/>
      <sheetName val="02_Beton_Takip11"/>
      <sheetName val="1998-06_(Ruslar-Endirekt)10"/>
      <sheetName val="01_-_Rapor_-_Ocak_xls9"/>
      <sheetName val="01_-_Rapor_-_Ocak9"/>
      <sheetName val="MALZ_LIST_10"/>
      <sheetName val="Hard_and_Soft_Cost_CF9"/>
      <sheetName val="CCP,LEYES,_Y_DEC_9"/>
      <sheetName val="Yonetici_Raporu8"/>
      <sheetName val="BEYAN_ARKAYÜZ9"/>
      <sheetName val="INDIRECT_COST6"/>
      <sheetName val="Raw_Data6"/>
      <sheetName val="Реестр_материалов_Фильтрованны6"/>
      <sheetName val="Реестр_материалов6"/>
      <sheetName val="мат4_4_ОграждающиеКонструкции6"/>
      <sheetName val="İstinat_Duvarları6"/>
      <sheetName val="FRESHCAKE_ELEK__HAKEDİŞ6"/>
      <sheetName val="ANALIZ_MEKANIK6"/>
      <sheetName val="Asset_Verification6"/>
      <sheetName val="03_Kontrat_Bilgileri6"/>
      <sheetName val="Konsolide_740_hesap_hareketler6"/>
      <sheetName val="Aktivite_Kodu_Bazında_Bekleyen6"/>
      <sheetName val="Gündem_Maliyeti6"/>
      <sheetName val="Kapanmamış_Siparişler_Kontrol_6"/>
      <sheetName val="Satir_Bazli_Odeme_Listesi6"/>
      <sheetName val="Aktivite_Bazında_Odeme_Listesi6"/>
      <sheetName val="Aktivite_Bazında_Stok_Durum_Ra6"/>
      <sheetName val="DATA_BANK6"/>
      <sheetName val="ALCIPAN_ANALIZ6"/>
      <sheetName val="BA_BRM_FIYAT6"/>
      <sheetName val="MOKRI_FASAD6"/>
      <sheetName val="ELEKTRIK_MEKANIK_REV_26"/>
      <sheetName val="31_EKİM_2006_PROJEKSİYON6"/>
      <sheetName val="Mech__Summary6"/>
      <sheetName val="Cost_of_MH6"/>
      <sheetName val="Ek_Bilgi6"/>
      <sheetName val="TM_Listesi6"/>
      <sheetName val="GEN_GİD+KAR6"/>
      <sheetName val="GENEL_İCMAL6"/>
      <sheetName val="Masonry_Wall6"/>
      <sheetName val="Precast_Concrete6"/>
      <sheetName val="Rip_Rap6"/>
      <sheetName val="Attach_4-186"/>
      <sheetName val="Bas__Es_5"/>
      <sheetName val="FOH_FF&amp;E5"/>
      <sheetName val="Otel_binası5"/>
      <sheetName val="keşif_özeti5"/>
      <sheetName val="CAM_KORKULUK-35"/>
      <sheetName val="MONTAJ_FİYATLARI5"/>
      <sheetName val="arka_kapak5"/>
      <sheetName val="Tüm_Pozlar5"/>
      <sheetName val="MEKANİK_KİTAP5"/>
      <sheetName val="Alt_Geçit-Menfez-25"/>
      <sheetName val="Сводная_инф_5"/>
      <sheetName val="Sıhhi_Tes_5"/>
      <sheetName val="SUMMARY_BQ5"/>
      <sheetName val="A2_Proje5"/>
      <sheetName val="A7_Alet-Test5"/>
      <sheetName val="A3_Ülke5"/>
      <sheetName val="A4_İdari_Personel5"/>
      <sheetName val="A5_İşçilik5"/>
      <sheetName val="A1_Özet5"/>
      <sheetName val="DISABLED_ROOM5"/>
      <sheetName val="EXECUTIVE_ROOM_TYPE_A5"/>
      <sheetName val="EXECUTIVE_ROOM_TYPE_B5"/>
      <sheetName val="TYPICAL_JUNIOR_SUIT5"/>
      <sheetName val="PRESIDENTIAL_SUIT5"/>
      <sheetName val="TYPICAL_KING&amp;TWIN5"/>
      <sheetName val="OFFER_SUMMARY5"/>
      <sheetName val="Kalite_Hedefleri_-tablo_icin5"/>
      <sheetName val="BQ_External5"/>
      <sheetName val="КП_Форум-Тверь1"/>
      <sheetName val="КП_АВФ1"/>
      <sheetName val="КП_Технология_комфорта1"/>
      <sheetName val="КП_КИТ1"/>
      <sheetName val="КП_Мичич1"/>
      <sheetName val="ÖBF_10B5"/>
      <sheetName val="ÖBF_10C5"/>
      <sheetName val="DEMİR_İCMAL5"/>
      <sheetName val="ÖBF_135"/>
      <sheetName val="ÖBF_155"/>
      <sheetName val="ÖBF_165"/>
      <sheetName val="ÖBF_175"/>
      <sheetName val="ÖBF_185"/>
      <sheetName val="ÖBF_195"/>
      <sheetName val="ÖBF_205"/>
      <sheetName val="ÖBF_045"/>
      <sheetName val="ÖBF_055"/>
      <sheetName val="ÖBF_065"/>
      <sheetName val="ÖBF_085"/>
      <sheetName val="ÖBF_09A5"/>
      <sheetName val="ÖBF_09B5"/>
      <sheetName val="ÖBF_09C5"/>
      <sheetName val="YFZ_015"/>
      <sheetName val="YFZ_025"/>
      <sheetName val="YFZ_035"/>
      <sheetName val="YFZ_045"/>
      <sheetName val="YFZ_055"/>
      <sheetName val="YFZ_065"/>
      <sheetName val="YFZ_075"/>
      <sheetName val="YFZ_085"/>
      <sheetName val="YFZ_095"/>
      <sheetName val="hakedişler_kaydı5"/>
      <sheetName val="AOP_Summary-25"/>
      <sheetName val="1_11_b5"/>
      <sheetName val="Bill_No_65"/>
      <sheetName val="Calculation_Sheet1"/>
      <sheetName val="Malzeme_Takip1"/>
      <sheetName val="İCMAL_MARMARA1"/>
      <sheetName val="TEKLİF_-_BOQ1"/>
      <sheetName val="8_SPLİT1"/>
      <sheetName val="n_ПВА1"/>
      <sheetName val="Summary_Coefficients1"/>
      <sheetName val="TEKLİF_-_BOQ"/>
      <sheetName val="n_ПВА"/>
      <sheetName val="Summary_Coefficients"/>
      <sheetName val="KEMERİCMAL"/>
      <sheetName val="Global Variables"/>
      <sheetName val="(G)"/>
      <sheetName val="sch"/>
      <sheetName val="ön kapak"/>
      <sheetName val="Teklif Cetveli"/>
      <sheetName val="Rate Analysis"/>
      <sheetName val="RefTables"/>
      <sheetName val="IMPERIAL"/>
      <sheetName val="INSURANCE DATA"/>
      <sheetName val="BCA10 &amp; BCB10"/>
      <sheetName val="Miktarlar"/>
      <sheetName val="$ KURLARI"/>
      <sheetName val="XLR_NoRangeSheet"/>
      <sheetName val="Welcome"/>
      <sheetName val="mahaller"/>
      <sheetName val="Taux&amp;Keys"/>
      <sheetName val="A ENGAGER"/>
      <sheetName val="BUDGET"/>
      <sheetName val="SUIVI"/>
      <sheetName val="Базовые данные"/>
      <sheetName val="CF-Actual"/>
      <sheetName val="Comment (2)"/>
      <sheetName val="PBD"/>
      <sheetName val="ResSumRep"/>
      <sheetName val="Сводная таблица"/>
      <sheetName val="Подрядчик Затраты Отчет"/>
      <sheetName val="Заказчик Оплата Отгрузка"/>
      <sheetName val="KEŞİF ÖZETİ "/>
      <sheetName val="YAPILAN İŞLER"/>
      <sheetName val="G1_Sheet"/>
      <sheetName val="Cable_Tray"/>
      <sheetName val="Off_gas_ex_Platformer"/>
      <sheetName val="F_D_"/>
      <sheetName val="bsat_muflu"/>
      <sheetName val="KM_KANATLI"/>
      <sheetName val="Genel_Ozet"/>
      <sheetName val="Rapor_Kapsamı13"/>
      <sheetName val="Proje_Hakkında_Bilgiler13"/>
      <sheetName val="Proje_Aylık_Faaliyet_Degerl_13"/>
      <sheetName val="Proje_Prog_Deg_Özeti13"/>
      <sheetName val="Finansal_tamamlanma_Eğrisi13"/>
      <sheetName val="Fiziksel_tamamlanma_Eğrisi13"/>
      <sheetName val="Butce_Degerlendirme_Ozeti13"/>
      <sheetName val="Dahili_İstihkak_Raporu13"/>
      <sheetName val="Nakit_Akım_Tablosu_13"/>
      <sheetName val="Bekleyen_Alacaklar_Tablosu13"/>
      <sheetName val="Bekleyen_Borclar13"/>
      <sheetName val="Personel_Durum_Ozeti13"/>
      <sheetName val="Personel_Maliyet_Özeti_USD13"/>
      <sheetName val="Finansal_tamamlanma_E?risi13"/>
      <sheetName val="303_Bord__de_base_des_prix_VR12"/>
      <sheetName val="_N_Finansal_Eğri12"/>
      <sheetName val="DIV_212"/>
      <sheetName val="Tender_Summary12"/>
      <sheetName val="HUD_YOLU_DUVAR_8_MT12"/>
      <sheetName val="Proje_Kodları12"/>
      <sheetName val="02_Beton_Takip12"/>
      <sheetName val="1998-06_(Ruslar-Endirekt)11"/>
      <sheetName val="01_-_Rapor_-_Ocak_xls10"/>
      <sheetName val="01_-_Rapor_-_Ocak10"/>
      <sheetName val="MALZ_LIST_11"/>
      <sheetName val="CCP,LEYES,_Y_DEC_10"/>
      <sheetName val="Hard_and_Soft_Cost_CF10"/>
      <sheetName val="Yonetici_Raporu9"/>
      <sheetName val="BEYAN_ARKAYÜZ10"/>
      <sheetName val="Finansal_tamamlanma_E_risi12"/>
      <sheetName val="INDIRECT_COST7"/>
      <sheetName val="Raw_Data7"/>
      <sheetName val="Реестр_материалов_Фильтрованны7"/>
      <sheetName val="Реестр_материалов7"/>
      <sheetName val="мат4_4_ОграждающиеКонструкции7"/>
      <sheetName val="İstinat_Duvarları7"/>
      <sheetName val="FRESHCAKE_ELEK__HAKEDİŞ7"/>
      <sheetName val="ANALIZ_MEKANIK7"/>
      <sheetName val="Asset_Verification7"/>
      <sheetName val="03_Kontrat_Bilgileri7"/>
      <sheetName val="Konsolide_740_hesap_hareketler7"/>
      <sheetName val="Aktivite_Kodu_Bazında_Bekleyen7"/>
      <sheetName val="Gündem_Maliyeti7"/>
      <sheetName val="Kapanmamış_Siparişler_Kontrol_7"/>
      <sheetName val="Satir_Bazli_Odeme_Listesi7"/>
      <sheetName val="Aktivite_Bazında_Odeme_Listesi7"/>
      <sheetName val="Aktivite_Bazında_Stok_Durum_Ra7"/>
      <sheetName val="DATA_BANK7"/>
      <sheetName val="ALCIPAN_ANALIZ7"/>
      <sheetName val="BA_BRM_FIYAT7"/>
      <sheetName val="MOKRI_FASAD7"/>
      <sheetName val="ELEKTRIK_MEKANIK_REV_27"/>
      <sheetName val="keşif_özeti6"/>
      <sheetName val="Masonry_Wall7"/>
      <sheetName val="Precast_Concrete7"/>
      <sheetName val="Rip_Rap7"/>
      <sheetName val="Mech__Summary7"/>
      <sheetName val="31_EKİM_2006_PROJEKSİYON7"/>
      <sheetName val="Cost_of_MH7"/>
      <sheetName val="Ek_Bilgi7"/>
      <sheetName val="TM_Listesi7"/>
      <sheetName val="GEN_GİD+KAR7"/>
      <sheetName val="GENEL_İCMAL7"/>
      <sheetName val="Attach_4-187"/>
      <sheetName val="Tüm_Pozlar6"/>
      <sheetName val="arka_kapak6"/>
      <sheetName val="Bas__Es_6"/>
      <sheetName val="FOH_FF&amp;E6"/>
      <sheetName val="Otel_binası6"/>
      <sheetName val="Сводная_инф_6"/>
      <sheetName val="MEKANİK_KİTAP6"/>
      <sheetName val="Alt_Geçit-Menfez-26"/>
      <sheetName val="A2_Proje6"/>
      <sheetName val="A7_Alet-Test6"/>
      <sheetName val="A3_Ülke6"/>
      <sheetName val="A4_İdari_Personel6"/>
      <sheetName val="A5_İşçilik6"/>
      <sheetName val="A1_Özet6"/>
      <sheetName val="DISABLED_ROOM6"/>
      <sheetName val="EXECUTIVE_ROOM_TYPE_A6"/>
      <sheetName val="EXECUTIVE_ROOM_TYPE_B6"/>
      <sheetName val="TYPICAL_JUNIOR_SUIT6"/>
      <sheetName val="PRESIDENTIAL_SUIT6"/>
      <sheetName val="TYPICAL_KING&amp;TWIN6"/>
      <sheetName val="SUMMARY_BQ6"/>
      <sheetName val="CAM_KORKULUK-36"/>
      <sheetName val="MONTAJ_FİYATLARI6"/>
      <sheetName val="Sıhhi_Tes_6"/>
      <sheetName val="OFFER_SUMMARY6"/>
      <sheetName val="Kalite_Hedefleri_-tablo_icin6"/>
      <sheetName val="ÖBF_10B6"/>
      <sheetName val="ÖBF_10C6"/>
      <sheetName val="DEMİR_İCMAL6"/>
      <sheetName val="ÖBF_136"/>
      <sheetName val="ÖBF_156"/>
      <sheetName val="ÖBF_166"/>
      <sheetName val="ÖBF_176"/>
      <sheetName val="ÖBF_186"/>
      <sheetName val="ÖBF_196"/>
      <sheetName val="ÖBF_206"/>
      <sheetName val="ÖBF_046"/>
      <sheetName val="ÖBF_056"/>
      <sheetName val="ÖBF_066"/>
      <sheetName val="ÖBF_086"/>
      <sheetName val="ÖBF_09A6"/>
      <sheetName val="ÖBF_09B6"/>
      <sheetName val="ÖBF_09C6"/>
      <sheetName val="YFZ_016"/>
      <sheetName val="YFZ_026"/>
      <sheetName val="YFZ_036"/>
      <sheetName val="YFZ_046"/>
      <sheetName val="YFZ_056"/>
      <sheetName val="YFZ_066"/>
      <sheetName val="YFZ_076"/>
      <sheetName val="YFZ_086"/>
      <sheetName val="YFZ_096"/>
      <sheetName val="hakedişler_kaydı6"/>
      <sheetName val="AOP_Summary-26"/>
      <sheetName val="1_11_b6"/>
      <sheetName val="BQ_External6"/>
      <sheetName val="КП_Форум-Тверь2"/>
      <sheetName val="КП_АВФ2"/>
      <sheetName val="КП_Технология_комфорта2"/>
      <sheetName val="КП_КИТ2"/>
      <sheetName val="КП_Мичич2"/>
      <sheetName val="Bill_No_66"/>
      <sheetName val="04_Schedule1"/>
      <sheetName val="ŞBK_İCM_1"/>
      <sheetName val="Ödeme_Sayfası1"/>
      <sheetName val="İ_İşler1"/>
      <sheetName val="İLAVE_İŞLER1"/>
      <sheetName val="Kapama_Perdeleri1"/>
      <sheetName val="Nakit_Teminat_Kesintisi1"/>
      <sheetName val="KEPENK_METRAJ1"/>
      <sheetName val="HAKEDİŞ_İCMAL1"/>
      <sheetName val="TL_Yazma1"/>
      <sheetName val="G1_Sheet1"/>
      <sheetName val="Cable_Tray1"/>
      <sheetName val="Off_gas_ex_Platformer1"/>
      <sheetName val="F_D_1"/>
      <sheetName val="bsat_muflu1"/>
      <sheetName val="KM_KANATLI1"/>
      <sheetName val="Genel_Ozet1"/>
      <sheetName val="metraj syf."/>
      <sheetName val="yeşil defter "/>
      <sheetName val="Вспом_лист"/>
      <sheetName val="Units"/>
      <sheetName val="Controls"/>
      <sheetName val="HYDROTEST DIAGRAM"/>
      <sheetName val="PLSt 03  "/>
      <sheetName val="П 7 курс аванса"/>
      <sheetName val="IncStat 03-04"/>
      <sheetName val="IncStat 03  "/>
      <sheetName val="Авансы по СНГ"/>
      <sheetName val="FIXED EQUIPMENT"/>
      <sheetName val="Eng_Hrs"/>
      <sheetName val="FCTRS"/>
      <sheetName val="Перечень"/>
      <sheetName val="Page1"/>
      <sheetName val="Summ"/>
      <sheetName val="汇率等"/>
      <sheetName val="Rapor_Kapsamı14"/>
      <sheetName val="Proje_Hakkında_Bilgiler14"/>
      <sheetName val="Proje_Aylık_Faaliyet_Degerl_14"/>
      <sheetName val="Proje_Prog_Deg_Özeti14"/>
      <sheetName val="Finansal_tamamlanma_Eğrisi14"/>
      <sheetName val="Fiziksel_tamamlanma_Eğrisi14"/>
      <sheetName val="Butce_Degerlendirme_Ozeti14"/>
      <sheetName val="Dahili_İstihkak_Raporu14"/>
      <sheetName val="Nakit_Akım_Tablosu_14"/>
      <sheetName val="Bekleyen_Alacaklar_Tablosu14"/>
      <sheetName val="Bekleyen_Borclar14"/>
      <sheetName val="Personel_Durum_Ozeti14"/>
      <sheetName val="Personel_Maliyet_Özeti_USD14"/>
      <sheetName val="Finansal_tamamlanma_E?risi14"/>
      <sheetName val="303_Bord__de_base_des_prix_VR13"/>
      <sheetName val="_N_Finansal_Eğri13"/>
      <sheetName val="DIV_213"/>
      <sheetName val="Tender_Summary13"/>
      <sheetName val="HUD_YOLU_DUVAR_8_MT13"/>
      <sheetName val="Proje_Kodları13"/>
      <sheetName val="02_Beton_Takip13"/>
      <sheetName val="1998-06_(Ruslar-Endirekt)12"/>
      <sheetName val="01_-_Rapor_-_Ocak_xls11"/>
      <sheetName val="01_-_Rapor_-_Ocak11"/>
      <sheetName val="MALZ_LIST_12"/>
      <sheetName val="Hard_and_Soft_Cost_CF11"/>
      <sheetName val="CCP,LEYES,_Y_DEC_11"/>
      <sheetName val="Yonetici_Raporu10"/>
      <sheetName val="BEYAN_ARKAYÜZ11"/>
      <sheetName val="Finansal_tamamlanma_E_risi13"/>
      <sheetName val="INDIRECT_COST8"/>
      <sheetName val="Raw_Data8"/>
      <sheetName val="Реестр_материалов_Фильтрованны8"/>
      <sheetName val="Реестр_материалов8"/>
      <sheetName val="мат4_4_ОграждающиеКонструкции8"/>
      <sheetName val="İstinat_Duvarları8"/>
      <sheetName val="FRESHCAKE_ELEK__HAKEDİŞ8"/>
      <sheetName val="ANALIZ_MEKANIK8"/>
      <sheetName val="Asset_Verification8"/>
      <sheetName val="DATA_BANK8"/>
      <sheetName val="ALCIPAN_ANALIZ8"/>
      <sheetName val="BA_BRM_FIYAT8"/>
      <sheetName val="MOKRI_FASAD8"/>
      <sheetName val="ELEKTRIK_MEKANIK_REV_28"/>
      <sheetName val="03_Kontrat_Bilgileri8"/>
      <sheetName val="Konsolide_740_hesap_hareketler8"/>
      <sheetName val="Aktivite_Kodu_Bazında_Bekleyen8"/>
      <sheetName val="Gündem_Maliyeti8"/>
      <sheetName val="Kapanmamış_Siparişler_Kontrol_8"/>
      <sheetName val="Satir_Bazli_Odeme_Listesi8"/>
      <sheetName val="Aktivite_Bazında_Odeme_Listesi8"/>
      <sheetName val="Aktivite_Bazında_Stok_Durum_Ra8"/>
      <sheetName val="Mech__Summary8"/>
      <sheetName val="Cost_of_MH8"/>
      <sheetName val="31_EKİM_2006_PROJEKSİYON8"/>
      <sheetName val="Attach_4-188"/>
      <sheetName val="Ek_Bilgi8"/>
      <sheetName val="TM_Listesi8"/>
      <sheetName val="GEN_GİD+KAR8"/>
      <sheetName val="GENEL_İCMAL8"/>
      <sheetName val="Masonry_Wall8"/>
      <sheetName val="Precast_Concrete8"/>
      <sheetName val="Rip_Rap8"/>
      <sheetName val="keşif_özeti7"/>
      <sheetName val="Bas__Es_7"/>
      <sheetName val="FOH_FF&amp;E7"/>
      <sheetName val="Otel_binası7"/>
      <sheetName val="Tüm_Pozlar7"/>
      <sheetName val="arka_kapak7"/>
      <sheetName val="MEKANİK_KİTAP7"/>
      <sheetName val="Alt_Geçit-Menfez-27"/>
      <sheetName val="A2_Proje7"/>
      <sheetName val="A7_Alet-Test7"/>
      <sheetName val="A3_Ülke7"/>
      <sheetName val="A4_İdari_Personel7"/>
      <sheetName val="A5_İşçilik7"/>
      <sheetName val="A1_Özet7"/>
      <sheetName val="DISABLED_ROOM7"/>
      <sheetName val="EXECUTIVE_ROOM_TYPE_A7"/>
      <sheetName val="EXECUTIVE_ROOM_TYPE_B7"/>
      <sheetName val="TYPICAL_JUNIOR_SUIT7"/>
      <sheetName val="PRESIDENTIAL_SUIT7"/>
      <sheetName val="TYPICAL_KING&amp;TWIN7"/>
      <sheetName val="SUMMARY_BQ7"/>
      <sheetName val="Сводная_инф_7"/>
      <sheetName val="CAM_KORKULUK-37"/>
      <sheetName val="MONTAJ_FİYATLARI7"/>
      <sheetName val="Sıhhi_Tes_7"/>
      <sheetName val="OFFER_SUMMARY7"/>
      <sheetName val="Kalite_Hedefleri_-tablo_icin7"/>
      <sheetName val="BQ_External7"/>
      <sheetName val="КП_Форум-Тверь3"/>
      <sheetName val="КП_АВФ3"/>
      <sheetName val="КП_Технология_комфорта3"/>
      <sheetName val="КП_КИТ3"/>
      <sheetName val="КП_Мичич3"/>
      <sheetName val="ÖBF_10B7"/>
      <sheetName val="ÖBF_10C7"/>
      <sheetName val="DEMİR_İCMAL7"/>
      <sheetName val="ÖBF_137"/>
      <sheetName val="ÖBF_157"/>
      <sheetName val="ÖBF_167"/>
      <sheetName val="ÖBF_177"/>
      <sheetName val="ÖBF_187"/>
      <sheetName val="ÖBF_197"/>
      <sheetName val="ÖBF_207"/>
      <sheetName val="ÖBF_047"/>
      <sheetName val="ÖBF_057"/>
      <sheetName val="ÖBF_067"/>
      <sheetName val="ÖBF_087"/>
      <sheetName val="ÖBF_09A7"/>
      <sheetName val="ÖBF_09B7"/>
      <sheetName val="ÖBF_09C7"/>
      <sheetName val="YFZ_017"/>
      <sheetName val="YFZ_027"/>
      <sheetName val="YFZ_037"/>
      <sheetName val="YFZ_047"/>
      <sheetName val="YFZ_057"/>
      <sheetName val="YFZ_067"/>
      <sheetName val="YFZ_077"/>
      <sheetName val="YFZ_087"/>
      <sheetName val="YFZ_097"/>
      <sheetName val="hakedişler_kaydı7"/>
      <sheetName val="AOP_Summary-27"/>
      <sheetName val="1_11_b7"/>
      <sheetName val="Bill_No_67"/>
      <sheetName val="Calculation_Sheet2"/>
      <sheetName val="Malzeme_Takip2"/>
      <sheetName val="İCMAL_MARMARA2"/>
      <sheetName val="TEKLİF_-_BOQ2"/>
      <sheetName val="8_SPLİT2"/>
      <sheetName val="04_Schedule2"/>
      <sheetName val="ŞBK_İCM_2"/>
      <sheetName val="Ödeme_Sayfası2"/>
      <sheetName val="İ_İşler2"/>
      <sheetName val="İLAVE_İŞLER2"/>
      <sheetName val="Kapama_Perdeleri2"/>
      <sheetName val="Nakit_Teminat_Kesintisi2"/>
      <sheetName val="KEPENK_METRAJ2"/>
      <sheetName val="HAKEDİŞ_İCMAL2"/>
      <sheetName val="TL_Yazma2"/>
      <sheetName val="G1_Sheet2"/>
      <sheetName val="Cable_Tray2"/>
      <sheetName val="Off_gas_ex_Platformer2"/>
      <sheetName val="F_D_2"/>
      <sheetName val="bsat_muflu2"/>
      <sheetName val="KM_KANATLI2"/>
      <sheetName val="n_ПВА2"/>
      <sheetName val="Summary_Coefficients2"/>
      <sheetName val="Genel_Ozet2"/>
      <sheetName val="SATIŞ_ÇALIŞMA"/>
      <sheetName val="MFO_END_BUTCE_(guncel)"/>
      <sheetName val="Yeşil_Defter_Kapak"/>
      <sheetName val="간접비_총괄표"/>
      <sheetName val="HORI__VESSEL"/>
      <sheetName val="CURVES_BY_VENDOR"/>
      <sheetName val="Load_List2"/>
      <sheetName val="Global_Variables"/>
      <sheetName val="ön_kapak"/>
      <sheetName val="Teklif_Cetveli"/>
      <sheetName val="Rate_Analysis"/>
      <sheetName val="INSURANCE_DATA"/>
      <sheetName val="BCA10_&amp;_BCB10"/>
      <sheetName val="$_KURLARI"/>
      <sheetName val="A_ENGAGER"/>
      <sheetName val="KEŞİF_ÖZETİ_"/>
      <sheetName val="YAPILAN_İŞLER"/>
      <sheetName val="Базовые_данные"/>
      <sheetName val="Comment_(2)"/>
      <sheetName val="Сводная_таблица"/>
      <sheetName val="Подрядчик_Затраты_Отчет"/>
      <sheetName val="Заказчик_Оплата_Отгрузка"/>
      <sheetName val="metraj_syf_"/>
      <sheetName val="yeşil_defter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SBAR-ZUCCHINI"/>
      <sheetName val="x"/>
      <sheetName val="ANALİZ"/>
      <sheetName val="y"/>
      <sheetName val="Sayfa1"/>
      <sheetName val="ICMAL"/>
      <sheetName val="GNLİCMAL"/>
      <sheetName val="İŞPROG"/>
      <sheetName val="KİCMAL"/>
      <sheetName val="PANOLAR"/>
      <sheetName val="AHU"/>
      <sheetName val="Finansal tamamlanma Eğrisi"/>
      <sheetName val="HUD YOLU DUVAR 8 MT"/>
      <sheetName val="OFFER SUMMARY (USD)"/>
      <sheetName val="betonarme"/>
      <sheetName val="mech-4"/>
      <sheetName val="Katsayılar"/>
      <sheetName val="Keşif-I"/>
      <sheetName val="XLR_NoRangeSheet"/>
      <sheetName val="Data(Plan)"/>
      <sheetName val=""/>
      <sheetName val="Finansal_tamamlanma_Eğrisi"/>
      <sheetName val="HUD_YOLU_DUVAR_8_MT"/>
      <sheetName val="OFFER_SUMMARY_(USD)"/>
      <sheetName val="Sheet1"/>
      <sheetName val="TABLO-3"/>
      <sheetName val="Tanımlar"/>
      <sheetName val="Otel binası"/>
      <sheetName val="LOB"/>
      <sheetName val="CONST"/>
      <sheetName val="ANLZ"/>
      <sheetName val="escon"/>
      <sheetName val="СВОДНАЯ "/>
      <sheetName val="Heat"/>
      <sheetName val="MTO"/>
      <sheetName val="1998-06 (Ruslar-Endirekt)"/>
      <sheetName val="INDIRECT COST"/>
      <sheetName val="asansör-tr"/>
      <sheetName val="AÇIKLAMALAR"/>
      <sheetName val="KABLO A.T.K."/>
      <sheetName val="ŞALTERLER"/>
      <sheetName val="AOP Summary-2"/>
      <sheetName val="A-H"/>
      <sheetName val="C-1"/>
      <sheetName val="A-12"/>
      <sheetName val="A-N"/>
      <sheetName val="B-4"/>
      <sheetName val="B-5"/>
      <sheetName val="C-2"/>
      <sheetName val="A-Ç"/>
      <sheetName val="C-3"/>
      <sheetName val="C-4"/>
      <sheetName val="A-2"/>
      <sheetName val="B-2"/>
      <sheetName val="C-AZ"/>
      <sheetName val="A-1"/>
      <sheetName val="B-1"/>
      <sheetName val="C-B1"/>
      <sheetName val="A-Z"/>
      <sheetName val="B-Z"/>
      <sheetName val="C-B2"/>
      <sheetName val="A-AZ"/>
      <sheetName val="B-AZ"/>
      <sheetName val="C-B3"/>
      <sheetName val="A-3"/>
      <sheetName val="B-3"/>
      <sheetName val="C-Z"/>
      <sheetName val="A-B1"/>
      <sheetName val="B-B1"/>
      <sheetName val="C-B4"/>
      <sheetName val="MAHALLISTESI (MERD)"/>
      <sheetName val="fitoutconfcentre"/>
      <sheetName val="data"/>
      <sheetName val="DEĞİŞKENLER"/>
      <sheetName val="Malzeme Takip"/>
      <sheetName val="1.11.b"/>
      <sheetName val="RAPOR"/>
      <sheetName val="dBase"/>
      <sheetName val="Earth W."/>
      <sheetName val="FİYATTUT"/>
      <sheetName val="liste"/>
      <sheetName val="Tesisat 11"/>
      <sheetName val="KEMERİCMAL"/>
      <sheetName val="ANAL21"/>
      <sheetName val="5.11 - Summary"/>
      <sheetName val="QPL"/>
      <sheetName val="List"/>
      <sheetName val="Инфо."/>
      <sheetName val="TK000216"/>
      <sheetName val="02092015"/>
      <sheetName val="Proforma"/>
      <sheetName val="ВМТР"/>
      <sheetName val="parametreler"/>
      <sheetName val="tesİsat"/>
      <sheetName val=" n finansal eğri"/>
      <sheetName val="Z"/>
      <sheetName val="Cash2"/>
      <sheetName val="Keşif-Toplam"/>
      <sheetName val="siva"/>
      <sheetName val="ESTI."/>
      <sheetName val="DI-ESTI"/>
      <sheetName val="기안"/>
      <sheetName val="A"/>
      <sheetName val="FAB별"/>
      <sheetName val="BOQ Cost Sheet"/>
      <sheetName val="Info"/>
      <sheetName val="Summary"/>
      <sheetName val="İŞ PROĞRAMI"/>
      <sheetName val="# 1d staff plan"/>
      <sheetName val="Home Office"/>
      <sheetName val="Basic-Engineering"/>
      <sheetName val="Лист19"/>
      <sheetName val="на 1 тут"/>
      <sheetName val="production and spend"/>
      <sheetName val="Table"/>
      <sheetName val="33628-Rev. A"/>
      <sheetName val="RFP002"/>
      <sheetName val="Кедровский"/>
      <sheetName val="dcc"/>
      <sheetName val="Настр"/>
      <sheetName val="квафиликация_суды"/>
      <sheetName val="assumpt"/>
      <sheetName val="산근"/>
      <sheetName val="대비표"/>
      <sheetName val="#REF"/>
      <sheetName val="机械台时"/>
      <sheetName val="Setup"/>
      <sheetName val="Presupuesto"/>
      <sheetName val="SakhNIPI5"/>
      <sheetName val="sens"/>
      <sheetName val="показатели"/>
      <sheetName val="Исходные"/>
      <sheetName val="Коммерческая эффективность"/>
      <sheetName val="Цены ТП"/>
      <sheetName val="выборка домниковой 10 мес."/>
      <sheetName val="Rate Analysis"/>
      <sheetName val="General"/>
      <sheetName val="PLSt 03  "/>
      <sheetName val="П 7 курс аванса"/>
      <sheetName val="Preconditons"/>
      <sheetName val="Share Price 2002"/>
      <sheetName val="Средние"/>
      <sheetName val="quantity"/>
      <sheetName val="matrix"/>
      <sheetName val="FCTR"/>
      <sheetName val="Курсы"/>
      <sheetName val="기계내역서"/>
      <sheetName val="合成単価作成表-BLDG"/>
      <sheetName val="К.С.М."/>
      <sheetName val="Тр.  (мост)"/>
      <sheetName val="Connections"/>
      <sheetName val="DWTables"/>
      <sheetName val="ввод данных"/>
      <sheetName val="Finansal_tamamlanma_Eğrisi1"/>
      <sheetName val="HUD_YOLU_DUVAR_8_MT1"/>
      <sheetName val="OFFER_SUMMARY_(USD)1"/>
      <sheetName val="Otel_binası"/>
      <sheetName val="СВОДНАЯ_"/>
      <sheetName val="1998-06_(Ruslar-Endirekt)"/>
      <sheetName val="INDIRECT_COST"/>
      <sheetName val="AOP_Summary-2"/>
      <sheetName val="KABLO_A_T_K_"/>
      <sheetName val="MAHALLISTESI_(MERD)"/>
      <sheetName val="Malzeme_Takip"/>
      <sheetName val="1_11_b"/>
      <sheetName val="Earth_W_"/>
      <sheetName val="Tesisat_11"/>
      <sheetName val="5_11_-_Summary"/>
      <sheetName val="Инфо_"/>
      <sheetName val="_n_finansal_eğri"/>
      <sheetName val="ESTI_"/>
      <sheetName val="BOQ_Cost_Sheet"/>
      <sheetName val="İŞ_PROĞRAMI"/>
      <sheetName val="Home_Office"/>
      <sheetName val="production_and_spend"/>
      <sheetName val="#_1d_staff_plan"/>
      <sheetName val="33628-Rev__A"/>
      <sheetName val="на_1_тут"/>
      <sheetName val="Коммерческая_эффективность"/>
      <sheetName val="Цены_ТП"/>
      <sheetName val="выборка_домниковой_10_мес_"/>
      <sheetName val="Rate_Analysis"/>
      <sheetName val="PLSt_03__"/>
      <sheetName val="П_7_курс_аванса"/>
      <sheetName val="Share_Price_2002"/>
      <sheetName val="PMC_ORG"/>
      <sheetName val="Материал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ЧС"/>
      <sheetName val="ЧСВ"/>
      <sheetName val="МСВ"/>
      <sheetName val="ТСж"/>
      <sheetName val="свод"/>
      <sheetName val="подогрев ГВС"/>
      <sheetName val="ХОВ"/>
      <sheetName val="Вода"/>
      <sheetName val="Вода для ГВС"/>
      <sheetName val="Стоки"/>
      <sheetName val="расчет_свод"/>
      <sheetName val="Отопление"/>
      <sheetName val="Свод план тепло"/>
      <sheetName val="даты"/>
      <sheetName val="Таблица по нормативам вода"/>
      <sheetName val="Кедровский"/>
      <sheetName val="Смета"/>
      <sheetName val="Список"/>
      <sheetName val="Константы"/>
      <sheetName val="Настройка"/>
      <sheetName val="Настройки"/>
      <sheetName val="подогрев_ГВС"/>
      <sheetName val="Вода_для_ГВС"/>
      <sheetName val="Свод_план_тепло"/>
      <sheetName val="Таблица_по_нормативам_вода"/>
      <sheetName val="Tech Ind Hee Bericht ohne BCG"/>
      <sheetName val="доп.данные"/>
      <sheetName val="на 1 тут"/>
      <sheetName val="подогрев_ГВС1"/>
      <sheetName val="Вода_для_ГВС1"/>
      <sheetName val="Свод_план_тепло1"/>
      <sheetName val="Таблица_по_нормативам_вода1"/>
      <sheetName val="Tech_Ind_Hee_Bericht_ohne_BCG"/>
      <sheetName val="Справочник"/>
      <sheetName val="РКЦ"/>
      <sheetName val="График"/>
      <sheetName val="СВОДНАЯ"/>
      <sheetName val="Оглавление"/>
      <sheetName val="РЦК-лимит"/>
      <sheetName val="Выгрузка"/>
      <sheetName val="БДДС ДО"/>
      <sheetName val="1"/>
      <sheetName val="Пикалёвская"/>
      <sheetName val="Новомикуньская"/>
      <sheetName val="Кап.ремонт"/>
      <sheetName val="2"/>
      <sheetName val="Пикалёвская (2017-2020)"/>
      <sheetName val="Справочник подпроеков"/>
      <sheetName val="X000-00I-XXXX"/>
      <sheetName val="подогрев_ГВС2"/>
      <sheetName val="Вода_для_ГВС2"/>
      <sheetName val="Свод_план_тепло2"/>
      <sheetName val="Таблица_по_нормативам_вода2"/>
      <sheetName val="Tech_Ind_Hee_Bericht_ohne_BCG1"/>
      <sheetName val="доп_данные"/>
      <sheetName val="на_1_тут"/>
      <sheetName val="Справочник_подпроеков"/>
      <sheetName val="БДДС_ДО"/>
      <sheetName val="Кап_ремонт"/>
      <sheetName val="Пикалёвская_(2017-2020)"/>
      <sheetName val="подогрев_ГВС3"/>
      <sheetName val="Вода_для_ГВС3"/>
      <sheetName val="Свод_план_тепло3"/>
      <sheetName val="Таблица_по_нормативам_вода3"/>
      <sheetName val="Tech_Ind_Hee_Bericht_ohne_BCG2"/>
      <sheetName val="доп_данные1"/>
      <sheetName val="на_1_тут1"/>
      <sheetName val="Справочник_подпроеков1"/>
      <sheetName val="БДДС_ДО1"/>
      <sheetName val="Кап_ремонт1"/>
      <sheetName val="Пикалёвская_(2017-2020)1"/>
      <sheetName val="подогрев_ГВС4"/>
      <sheetName val="Вода_для_ГВС4"/>
      <sheetName val="Свод_план_тепло4"/>
      <sheetName val="Таблица_по_нормативам_вода4"/>
      <sheetName val="Tech_Ind_Hee_Bericht_ohne_BCG3"/>
      <sheetName val="доп_данные2"/>
      <sheetName val="на_1_тут2"/>
      <sheetName val="Справочник_подпроеков2"/>
      <sheetName val="БДДС_ДО2"/>
      <sheetName val="Кап_ремонт2"/>
      <sheetName val="Пикалёвская_(2017-2020)2"/>
      <sheetName val="ЛЧ"/>
      <sheetName val="sch"/>
      <sheetName val="Добыча-факт"/>
      <sheetName val="13.2.8 El (PS-1600.01)"/>
      <sheetName val="ANX3A65"/>
      <sheetName val="Parametri"/>
      <sheetName val="BID"/>
      <sheetName val="Breakdown AR"/>
      <sheetName val="Finansal tamamlanma Eğrisi"/>
      <sheetName val="BA "/>
      <sheetName val="报价单"/>
      <sheetName val="Нормативы"/>
      <sheetName val="CLASS2_REF_PL"/>
      <sheetName val="Рейты"/>
      <sheetName val="Financials"/>
      <sheetName val="Spread"/>
      <sheetName val="XLR_NoRangeSheet"/>
      <sheetName val="PIPING_total"/>
      <sheetName val="manhour"/>
      <sheetName val="норм. ти"/>
      <sheetName val=" кв Смета"/>
      <sheetName val="33628-Rev. A"/>
      <sheetName val="Heat"/>
      <sheetName val="Feed"/>
      <sheetName val="#REF"/>
      <sheetName val="См 1 наруж.водопровод"/>
      <sheetName val="Instrumentation&amp;Automation"/>
      <sheetName val="lookup"/>
      <sheetName val="MC-1"/>
      <sheetName val="INPUT_TABLE"/>
      <sheetName val="directory"/>
      <sheetName val="data"/>
      <sheetName val="Вендоры_скидки_коэф-ты"/>
      <sheetName val="ид"/>
      <sheetName val="Лист1"/>
      <sheetName val="Ф"/>
      <sheetName val="Off gas ex Platformer"/>
      <sheetName val="Değişkenler"/>
      <sheetName val="노임단가"/>
      <sheetName val="A1"/>
      <sheetName val="valve data"/>
      <sheetName val="_ESList"/>
      <sheetName val="CONCRETE"/>
      <sheetName val="Bolt Up"/>
      <sheetName val="Field Handle Fittings"/>
      <sheetName val="Attach Flange"/>
      <sheetName val="Handle &amp; Erect Fab Spools"/>
      <sheetName val="Shop Handle Pipe"/>
      <sheetName val="Olet"/>
      <sheetName val="Shop Handle Fittings"/>
      <sheetName val="Valve Handle"/>
      <sheetName val="W+C+2B"/>
      <sheetName val="Electrical Load List"/>
      <sheetName val="подогрев_ГВС5"/>
      <sheetName val="Вода_для_ГВС5"/>
      <sheetName val="Свод_план_тепло5"/>
      <sheetName val="Таблица_по_нормативам_вода5"/>
      <sheetName val="Tech_Ind_Hee_Bericht_ohne_BCG4"/>
      <sheetName val="доп_данные3"/>
      <sheetName val="на_1_тут3"/>
      <sheetName val="Справочник_подпроеков3"/>
      <sheetName val="БДДС_ДО3"/>
      <sheetName val="Кап_ремонт3"/>
      <sheetName val="Пикалёвская_(2017-2020)3"/>
      <sheetName val="13_2_8_El_(PS-1600_01)"/>
      <sheetName val="Finansal_tamamlanma_Eğrisi"/>
      <sheetName val="Breakdown_AR"/>
      <sheetName val="BA_"/>
      <sheetName val="норм__ти"/>
      <sheetName val="_кв_Смета"/>
      <sheetName val="33628-Rev__A"/>
      <sheetName val="См_1_наруж_водопровод"/>
      <sheetName val=" Свод"/>
      <sheetName val="Б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eğişkenler"/>
      <sheetName val="x"/>
      <sheetName val="ANALİZ"/>
      <sheetName val="Time schedule"/>
      <sheetName val="ANLZ"/>
      <sheetName val="Servis"/>
      <sheetName val="HUD YOLU DUVAR 8 MT"/>
      <sheetName val="LOB"/>
      <sheetName val="ÖNGERME Pİ PLAK"/>
      <sheetName val="Final(1)summary"/>
      <sheetName val="Time_schedule"/>
      <sheetName val="FCTR"/>
      <sheetName val="Basic calculation (optimistic)"/>
      <sheetName val="KADIKES2"/>
      <sheetName val="BUS BAR"/>
      <sheetName val="YENİ RAYİÇ"/>
      <sheetName val="YENİ RAYİÇUSD"/>
      <sheetName val="KAZI-DOLGU"/>
      <sheetName val="KALIP-DEMİR-BETON"/>
      <sheetName val="BETONARME"/>
      <sheetName val="PREKAST"/>
      <sheetName val="DIŞ SIVA-DIŞ CEPHE ELEM"/>
      <sheetName val="İZOLASYON"/>
      <sheetName val="ÇATI"/>
      <sheetName val="BÖLMEDUVAR"/>
      <sheetName val="SIVA"/>
      <sheetName val="DÖŞEMEKAPLAMASI"/>
      <sheetName val="DUVARKAPLAMASI"/>
      <sheetName val="TAVANKAPLAMASI"/>
      <sheetName val="ASMATAVAN"/>
      <sheetName val="KAPI"/>
      <sheetName val="PENCERE"/>
      <sheetName val="DOLAP"/>
      <sheetName val="CAM"/>
      <sheetName val="MERDİVEN-KORKULUK"/>
      <sheetName val="ATIKSU-YAĞMURSUYU"/>
      <sheetName val="İÇME-SULAMA SUYU"/>
      <sheetName val="PTT"/>
      <sheetName val="SERT SATIH"/>
      <sheetName val="BİTKİLENDİRME"/>
      <sheetName val="ÇEŞİTLİ"/>
      <sheetName val="BRFTL(OCAK)"/>
      <sheetName val="BRFTL(ESK-TL)"/>
      <sheetName val="BRFTL(ESK-$)"/>
      <sheetName val="ESKALASYON"/>
      <sheetName val="DOLAR KURLARI"/>
      <sheetName val="içindekiler "/>
      <sheetName val="KAZI-DOLGUUSD"/>
      <sheetName val="KALIP-DEMİR-BETONUSD"/>
      <sheetName val="BETONARMEUSD"/>
      <sheetName val="PREKASTUSD"/>
      <sheetName val="DIŞ SIVA-DIŞ CEPHE ELEMUSD"/>
      <sheetName val="İZOLASYONUSD"/>
      <sheetName val="ÇATIUSD"/>
      <sheetName val="BÖLMEDUVARUSD"/>
      <sheetName val="SIVAUSD"/>
      <sheetName val="DÖŞEMEKAPLAMASIUSD"/>
      <sheetName val="DUVARKAPLAMASIUSD"/>
      <sheetName val="TAVANKAPLAMASIUSD"/>
      <sheetName val="ASMATAVANUSD"/>
      <sheetName val="KAPIUSD"/>
      <sheetName val="PENCEREUSD"/>
      <sheetName val="DOLAPUSD"/>
      <sheetName val="CAMUSD"/>
      <sheetName val="MERDİVEN-KORKULUKUSD"/>
      <sheetName val="ATIKSU-YAĞMURSUYUUSD"/>
      <sheetName val="İÇME-SULAMA SUYUUSD"/>
      <sheetName val="PTTUSD"/>
      <sheetName val="SERT SATIHUSD"/>
      <sheetName val="BİTKİLENDİRMEUSD"/>
      <sheetName val="ÇEŞİTLİUSD"/>
      <sheetName val="sayfa no"/>
      <sheetName val="KAPAK1"/>
      <sheetName val="KAPAK2"/>
      <sheetName val="KEŞİF(ocak)"/>
      <sheetName val="KEŞİF(şubat)"/>
      <sheetName val="KEŞİF(mart)"/>
      <sheetName val="KEŞİF(nisan)"/>
      <sheetName val="İLERLEME(şubat)"/>
      <sheetName val="İLERLEME(mart)"/>
      <sheetName val="KAPALI OTOPARK"/>
      <sheetName val="ÇEVRE"/>
      <sheetName val="ALT YAPI"/>
      <sheetName val="ANALIZ"/>
      <sheetName val="KATSAYI"/>
      <sheetName val="İhzar"/>
      <sheetName val="Time_schedule1"/>
      <sheetName val="HUD_YOLU_DUVAR_8_MT"/>
      <sheetName val="ÖNGERME_Pİ_PLAK"/>
      <sheetName val="ACCOUNT"/>
      <sheetName val="BD&amp;BoQ"/>
      <sheetName val="Finansal tamamlanma Eğrisi"/>
      <sheetName val="INDIRECT COST"/>
      <sheetName val="FAB별"/>
      <sheetName val="#REF"/>
      <sheetName val="Sheet3"/>
      <sheetName val="ЭХЗ по изометрии"/>
      <sheetName val="sch"/>
      <sheetName val="kapak"/>
      <sheetName val="cover"/>
      <sheetName val="Cause&amp;Effects"/>
      <sheetName val="icmal  (2)"/>
      <sheetName val="Graphical Data"/>
      <sheetName val="Sec A Buildsoft Input"/>
      <sheetName val="Section A Breakdown"/>
      <sheetName val="Sec B Buildsoft Input"/>
      <sheetName val="Sec C Buildsoft Input"/>
      <sheetName val="Sec D Buildsoft Input"/>
      <sheetName val="Sec E Buildsoft Input"/>
      <sheetName val="GFA"/>
      <sheetName val="Assumptions"/>
      <sheetName val="Target"/>
      <sheetName val="Planned"/>
      <sheetName val="Actual"/>
      <sheetName val="Summary 2002"/>
      <sheetName val="KESCAM"/>
      <sheetName val="Mhr&amp;Eq"/>
      <sheetName val="정부노임단가"/>
      <sheetName val="COEF"/>
      <sheetName val="Dİ-RUS"/>
      <sheetName val="Kur"/>
      <sheetName val="TBF"/>
      <sheetName val="A"/>
      <sheetName val="INPUTS"/>
      <sheetName val="FitOutConfCentre"/>
      <sheetName val="FT01-02(ANLZ)"/>
      <sheetName val="POZLAR"/>
      <sheetName val="Data"/>
      <sheetName val="DropDown_Elements"/>
      <sheetName val="OZET"/>
      <sheetName val="Share Price 2002"/>
      <sheetName val="A(Rev.3)"/>
      <sheetName val="TABLO-3"/>
      <sheetName val="1.11.b"/>
      <sheetName val="Unit Prices"/>
      <sheetName val="Table"/>
      <sheetName val="Sayfa2"/>
      <sheetName val="ALTYAPI KESIF"/>
      <sheetName val="köpr-icm"/>
      <sheetName val="tesİsat"/>
      <sheetName val="СВОДНАЯ"/>
      <sheetName val="КП Форум-Тверь"/>
      <sheetName val="КП АВФ"/>
      <sheetName val="КП Технология комфорта"/>
      <sheetName val="КП КИТ"/>
      <sheetName val="КП Мичич"/>
      <sheetName val="AOP Summary-2"/>
      <sheetName val="FILTER SCH"/>
      <sheetName val="4895 ADA"/>
      <sheetName val="359"/>
      <sheetName val="Total Price"/>
      <sheetName val="348-348a"/>
      <sheetName val="348F-TAHL."/>
      <sheetName val="552-555"/>
      <sheetName val="335-337"/>
      <sheetName val="337-339"/>
      <sheetName val="339-341"/>
      <sheetName val="341-343"/>
      <sheetName val="555-557"/>
      <sheetName val="348a-348b"/>
      <sheetName val="468-469"/>
      <sheetName val="348b-348c"/>
      <sheetName val="288-289"/>
      <sheetName val="348c-348d"/>
      <sheetName val="348d-348e"/>
      <sheetName val="348e-348f"/>
      <sheetName val="546-548"/>
      <sheetName val="343-348"/>
      <sheetName val=" N Finansal Eğri"/>
      <sheetName val="Analiz-dec"/>
      <sheetName val="sal"/>
      <sheetName val="Camp"/>
      <sheetName val="BM"/>
      <sheetName val="Macro1"/>
      <sheetName val="PIPE내역(FCN)"/>
      <sheetName val="metin"/>
      <sheetName val="5.6-KSANTRALLER"/>
      <sheetName val="Time_schedule2"/>
      <sheetName val="YENİ_RAYİÇ"/>
      <sheetName val="YENİ_RAYİÇUSD"/>
      <sheetName val="DIŞ_SIVA-DIŞ_CEPHE_ELEM"/>
      <sheetName val="İÇME-SULAMA_SUYU"/>
      <sheetName val="SERT_SATIH"/>
      <sheetName val="DOLAR_KURLARI"/>
      <sheetName val="içindekiler_"/>
      <sheetName val="DIŞ_SIVA-DIŞ_CEPHE_ELEMUSD"/>
      <sheetName val="İÇME-SULAMA_SUYUUSD"/>
      <sheetName val="SERT_SATIHUSD"/>
      <sheetName val="sayfa_no"/>
      <sheetName val="KAPALI_OTOPARK"/>
      <sheetName val="ALT_YAPI"/>
      <sheetName val="icmal__(2)"/>
      <sheetName val="Graphical_Data"/>
      <sheetName val="Finansal_tamamlanma_Eğrisi"/>
      <sheetName val="Sec_A_Buildsoft_Input"/>
      <sheetName val="Section_A_Breakdown"/>
      <sheetName val="Sec_B_Buildsoft_Input"/>
      <sheetName val="Sec_C_Buildsoft_Input"/>
      <sheetName val="Sec_D_Buildsoft_Input"/>
      <sheetName val="Sec_E_Buildsoft_Input"/>
      <sheetName val="Summary_2002"/>
      <sheetName val="BUS_BAR"/>
      <sheetName val="HUD_YOLU_DUVAR_8_MT1"/>
      <sheetName val="ÖNGERME_Pİ_PLAK1"/>
      <sheetName val="Share_Price_2002"/>
      <sheetName val="Basic_calculation_(optimistic)"/>
      <sheetName val="A(Rev_3)"/>
      <sheetName val="1_11_b"/>
      <sheetName val="Unit_Prices"/>
      <sheetName val="КП_Форум-Тверь"/>
      <sheetName val="КП_АВФ"/>
      <sheetName val="КП_Технология_комфорта"/>
      <sheetName val="КП_КИТ"/>
      <sheetName val="КП_Мичич"/>
      <sheetName val="ALTYAPI_KESIF"/>
      <sheetName val="INDIRECT_COST"/>
      <sheetName val="ЭХЗ_по_изометрии"/>
      <sheetName val="AOP_Summary-2"/>
      <sheetName val="FILTER_SCH"/>
      <sheetName val="4895_ADA"/>
      <sheetName val="Total_Price"/>
      <sheetName val="348F-TAHL_"/>
      <sheetName val="5_6-KSANTRALLER"/>
      <sheetName val="_N_Finansal_Eğri"/>
      <sheetName val="Time_schedule3"/>
      <sheetName val="YENİ_RAYİÇ1"/>
      <sheetName val="YENİ_RAYİÇUSD1"/>
      <sheetName val="DIŞ_SIVA-DIŞ_CEPHE_ELEM1"/>
      <sheetName val="İÇME-SULAMA_SUYU1"/>
      <sheetName val="SERT_SATIH1"/>
      <sheetName val="DOLAR_KURLARI1"/>
      <sheetName val="içindekiler_1"/>
      <sheetName val="DIŞ_SIVA-DIŞ_CEPHE_ELEMUSD1"/>
      <sheetName val="İÇME-SULAMA_SUYUUSD1"/>
      <sheetName val="SERT_SATIHUSD1"/>
      <sheetName val="sayfa_no1"/>
      <sheetName val="KAPALI_OTOPARK1"/>
      <sheetName val="ALT_YAPI1"/>
      <sheetName val="icmal__(2)1"/>
      <sheetName val="Graphical_Data1"/>
      <sheetName val="Finansal_tamamlanma_Eğrisi1"/>
      <sheetName val="Sec_A_Buildsoft_Input1"/>
      <sheetName val="Section_A_Breakdown1"/>
      <sheetName val="Sec_B_Buildsoft_Input1"/>
      <sheetName val="Sec_C_Buildsoft_Input1"/>
      <sheetName val="Sec_D_Buildsoft_Input1"/>
      <sheetName val="Sec_E_Buildsoft_Input1"/>
      <sheetName val="Summary_20021"/>
      <sheetName val="BUS_BAR1"/>
      <sheetName val="HUD_YOLU_DUVAR_8_MT2"/>
      <sheetName val="ÖNGERME_Pİ_PLAK2"/>
      <sheetName val="Share_Price_20021"/>
      <sheetName val="Basic_calculation_(optimistic)1"/>
      <sheetName val="A(Rev_3)1"/>
      <sheetName val="1_11_b1"/>
      <sheetName val="Unit_Prices1"/>
      <sheetName val="КП_Форум-Тверь1"/>
      <sheetName val="КП_АВФ1"/>
      <sheetName val="КП_Технология_комфорта1"/>
      <sheetName val="КП_КИТ1"/>
      <sheetName val="КП_Мичич1"/>
      <sheetName val="ALTYAPI_KESIF1"/>
      <sheetName val="INDIRECT_COST1"/>
      <sheetName val="ЭХЗ_по_изометрии1"/>
      <sheetName val="AOP_Summary-21"/>
      <sheetName val="FILTER_SCH1"/>
      <sheetName val="4895_ADA1"/>
      <sheetName val="Total_Price1"/>
      <sheetName val="348F-TAHL_1"/>
      <sheetName val="5_6-KSANTRALLER1"/>
      <sheetName val="_N_Finansal_Eğri1"/>
      <sheetName val="Sayfa1"/>
      <sheetName val="СМЕТА проект"/>
      <sheetName val="Time_schedule4"/>
      <sheetName val="YENİ_RAYİÇ2"/>
      <sheetName val="YENİ_RAYİÇUSD2"/>
      <sheetName val="DIŞ_SIVA-DIŞ_CEPHE_ELEM2"/>
      <sheetName val="İÇME-SULAMA_SUYU2"/>
      <sheetName val="SERT_SATIH2"/>
      <sheetName val="DOLAR_KURLARI2"/>
      <sheetName val="içindekiler_2"/>
      <sheetName val="DIŞ_SIVA-DIŞ_CEPHE_ELEMUSD2"/>
      <sheetName val="İÇME-SULAMA_SUYUUSD2"/>
      <sheetName val="SERT_SATIHUSD2"/>
      <sheetName val="sayfa_no2"/>
      <sheetName val="KAPALI_OTOPARK2"/>
      <sheetName val="ALT_YAPI2"/>
      <sheetName val="icmal__(2)2"/>
      <sheetName val="Graphical_Data2"/>
      <sheetName val="Finansal_tamamlanma_Eğrisi2"/>
      <sheetName val="Sec_A_Buildsoft_Input2"/>
      <sheetName val="Section_A_Breakdown2"/>
      <sheetName val="Sec_B_Buildsoft_Input2"/>
      <sheetName val="Sec_C_Buildsoft_Input2"/>
      <sheetName val="Sec_D_Buildsoft_Input2"/>
      <sheetName val="Sec_E_Buildsoft_Input2"/>
      <sheetName val="Summary_20022"/>
      <sheetName val="BUS_BAR2"/>
      <sheetName val="HUD_YOLU_DUVAR_8_MT3"/>
      <sheetName val="ÖNGERME_Pİ_PLAK3"/>
      <sheetName val="Share_Price_20022"/>
      <sheetName val="Basic_calculation_(optimistic)2"/>
      <sheetName val="A(Rev_3)2"/>
      <sheetName val="1_11_b2"/>
      <sheetName val="Unit_Prices2"/>
      <sheetName val="КП_Форум-Тверь2"/>
      <sheetName val="КП_АВФ2"/>
      <sheetName val="КП_Технология_комфорта2"/>
      <sheetName val="КП_КИТ2"/>
      <sheetName val="КП_Мичич2"/>
      <sheetName val="ALTYAPI_KESIF2"/>
      <sheetName val="INDIRECT_COST2"/>
      <sheetName val="ЭХЗ_по_изометрии2"/>
      <sheetName val="AOP_Summary-22"/>
      <sheetName val="FILTER_SCH2"/>
      <sheetName val="4895_ADA2"/>
      <sheetName val="Total_Price2"/>
      <sheetName val="348F-TAHL_2"/>
      <sheetName val="5_6-KSANTRALLER2"/>
      <sheetName val="_N_Finansal_Eğri2"/>
      <sheetName val="Time_schedule5"/>
      <sheetName val="YENİ_RAYİÇ3"/>
      <sheetName val="YENİ_RAYİÇUSD3"/>
      <sheetName val="DIŞ_SIVA-DIŞ_CEPHE_ELEM3"/>
      <sheetName val="İÇME-SULAMA_SUYU3"/>
      <sheetName val="SERT_SATIH3"/>
      <sheetName val="DOLAR_KURLARI3"/>
      <sheetName val="içindekiler_3"/>
      <sheetName val="DIŞ_SIVA-DIŞ_CEPHE_ELEMUSD3"/>
      <sheetName val="İÇME-SULAMA_SUYUUSD3"/>
      <sheetName val="SERT_SATIHUSD3"/>
      <sheetName val="sayfa_no3"/>
      <sheetName val="KAPALI_OTOPARK3"/>
      <sheetName val="ALT_YAPI3"/>
      <sheetName val="icmal__(2)3"/>
      <sheetName val="Graphical_Data3"/>
      <sheetName val="Finansal_tamamlanma_Eğrisi3"/>
      <sheetName val="Sec_A_Buildsoft_Input3"/>
      <sheetName val="Section_A_Breakdown3"/>
      <sheetName val="Sec_B_Buildsoft_Input3"/>
      <sheetName val="Sec_C_Buildsoft_Input3"/>
      <sheetName val="Sec_D_Buildsoft_Input3"/>
      <sheetName val="Sec_E_Buildsoft_Input3"/>
      <sheetName val="Summary_20023"/>
      <sheetName val="BUS_BAR3"/>
      <sheetName val="HUD_YOLU_DUVAR_8_MT4"/>
      <sheetName val="ÖNGERME_Pİ_PLAK4"/>
      <sheetName val="Share_Price_20023"/>
      <sheetName val="Basic_calculation_(optimistic)3"/>
      <sheetName val="A(Rev_3)3"/>
      <sheetName val="1_11_b3"/>
      <sheetName val="Unit_Prices3"/>
      <sheetName val="КП_Форум-Тверь3"/>
      <sheetName val="КП_АВФ3"/>
      <sheetName val="КП_Технология_комфорта3"/>
      <sheetName val="КП_КИТ3"/>
      <sheetName val="КП_Мичич3"/>
      <sheetName val="ALTYAPI_KESIF3"/>
      <sheetName val="INDIRECT_COST3"/>
      <sheetName val="ЭХЗ_по_изометрии3"/>
      <sheetName val="AOP_Summary-23"/>
      <sheetName val="FILTER_SCH3"/>
      <sheetName val="4895_ADA3"/>
      <sheetName val="Total_Price3"/>
      <sheetName val="348F-TAHL_3"/>
      <sheetName val="5_6-KSANTRALLER3"/>
      <sheetName val="_N_Finansal_Eğri3"/>
      <sheetName val="Time_schedule6"/>
      <sheetName val="YENİ_RAYİÇ4"/>
      <sheetName val="YENİ_RAYİÇUSD4"/>
      <sheetName val="DIŞ_SIVA-DIŞ_CEPHE_ELEM4"/>
      <sheetName val="İÇME-SULAMA_SUYU4"/>
      <sheetName val="SERT_SATIH4"/>
      <sheetName val="DOLAR_KURLARI4"/>
      <sheetName val="içindekiler_4"/>
      <sheetName val="DIŞ_SIVA-DIŞ_CEPHE_ELEMUSD4"/>
      <sheetName val="İÇME-SULAMA_SUYUUSD4"/>
      <sheetName val="SERT_SATIHUSD4"/>
      <sheetName val="sayfa_no4"/>
      <sheetName val="KAPALI_OTOPARK4"/>
      <sheetName val="ALT_YAPI4"/>
      <sheetName val="icmal__(2)4"/>
      <sheetName val="Graphical_Data4"/>
      <sheetName val="Finansal_tamamlanma_Eğrisi4"/>
      <sheetName val="Sec_A_Buildsoft_Input4"/>
      <sheetName val="Section_A_Breakdown4"/>
      <sheetName val="Sec_B_Buildsoft_Input4"/>
      <sheetName val="Sec_C_Buildsoft_Input4"/>
      <sheetName val="Sec_D_Buildsoft_Input4"/>
      <sheetName val="Sec_E_Buildsoft_Input4"/>
      <sheetName val="Summary_20024"/>
      <sheetName val="BUS_BAR4"/>
      <sheetName val="HUD_YOLU_DUVAR_8_MT5"/>
      <sheetName val="ÖNGERME_Pİ_PLAK5"/>
      <sheetName val="Share_Price_20024"/>
      <sheetName val="Basic_calculation_(optimistic)4"/>
      <sheetName val="A(Rev_3)4"/>
      <sheetName val="1_11_b4"/>
      <sheetName val="Unit_Prices4"/>
      <sheetName val="КП_Форум-Тверь4"/>
      <sheetName val="КП_АВФ4"/>
      <sheetName val="КП_Технология_комфорта4"/>
      <sheetName val="КП_КИТ4"/>
      <sheetName val="КП_Мичич4"/>
      <sheetName val="ALTYAPI_KESIF4"/>
      <sheetName val="INDIRECT_COST4"/>
      <sheetName val="ЭХЗ_по_изометрии4"/>
      <sheetName val="AOP_Summary-24"/>
      <sheetName val="FILTER_SCH4"/>
      <sheetName val="4895_ADA4"/>
      <sheetName val="Total_Price4"/>
      <sheetName val="348F-TAHL_4"/>
      <sheetName val="5_6-KSANTRALLER4"/>
      <sheetName val="_N_Finansal_Eğri4"/>
      <sheetName val="Time_schedule7"/>
      <sheetName val="YENİ_RAYİÇ5"/>
      <sheetName val="YENİ_RAYİÇUSD5"/>
      <sheetName val="DIŞ_SIVA-DIŞ_CEPHE_ELEM5"/>
      <sheetName val="İÇME-SULAMA_SUYU5"/>
      <sheetName val="SERT_SATIH5"/>
      <sheetName val="DOLAR_KURLARI5"/>
      <sheetName val="içindekiler_5"/>
      <sheetName val="DIŞ_SIVA-DIŞ_CEPHE_ELEMUSD5"/>
      <sheetName val="İÇME-SULAMA_SUYUUSD5"/>
      <sheetName val="SERT_SATIHUSD5"/>
      <sheetName val="sayfa_no5"/>
      <sheetName val="KAPALI_OTOPARK5"/>
      <sheetName val="ALT_YAPI5"/>
      <sheetName val="icmal__(2)5"/>
      <sheetName val="Graphical_Data5"/>
      <sheetName val="Finansal_tamamlanma_Eğrisi5"/>
      <sheetName val="Sec_A_Buildsoft_Input5"/>
      <sheetName val="Section_A_Breakdown5"/>
      <sheetName val="Sec_B_Buildsoft_Input5"/>
      <sheetName val="Sec_C_Buildsoft_Input5"/>
      <sheetName val="Sec_D_Buildsoft_Input5"/>
      <sheetName val="Sec_E_Buildsoft_Input5"/>
      <sheetName val="Summary_20025"/>
      <sheetName val="BUS_BAR5"/>
      <sheetName val="HUD_YOLU_DUVAR_8_MT6"/>
      <sheetName val="ÖNGERME_Pİ_PLAK6"/>
      <sheetName val="Share_Price_20025"/>
      <sheetName val="Basic_calculation_(optimistic)5"/>
      <sheetName val="A(Rev_3)5"/>
      <sheetName val="1_11_b5"/>
      <sheetName val="Unit_Prices5"/>
      <sheetName val="КП_Форум-Тверь5"/>
      <sheetName val="КП_АВФ5"/>
      <sheetName val="КП_Технология_комфорта5"/>
      <sheetName val="КП_КИТ5"/>
      <sheetName val="КП_Мичич5"/>
      <sheetName val="ALTYAPI_KESIF5"/>
      <sheetName val="INDIRECT_COST5"/>
      <sheetName val="ЭХЗ_по_изометрии5"/>
      <sheetName val="AOP_Summary-25"/>
      <sheetName val="FILTER_SCH5"/>
      <sheetName val="4895_ADA5"/>
      <sheetName val="Total_Price5"/>
      <sheetName val="348F-TAHL_5"/>
      <sheetName val="5_6-KSANTRALLER5"/>
      <sheetName val="_N_Finansal_Eğri5"/>
      <sheetName val="parametreler"/>
      <sheetName val="RAYİÇ"/>
      <sheetName val="01"/>
      <sheetName val="parameters"/>
      <sheetName val="PriceSummary"/>
      <sheetName val="PROCURE"/>
      <sheetName val="SUMMARY BQ"/>
      <sheetName val="tahakkuk müzekkeresi_1"/>
      <sheetName val="İCMAL"/>
      <sheetName val="ÇIKIŞ-G"/>
      <sheetName val="PUANTAJ-G"/>
      <sheetName val="YEMEK-G"/>
      <sheetName val="ÇMH-G"/>
      <sheetName val="ORT KL"/>
      <sheetName val="SLP"/>
      <sheetName val="SLP-P"/>
      <sheetName val="SLP-ÇMH"/>
      <sheetName val="SLP-Y"/>
      <sheetName val="GALATAPORT-ÖZDE"/>
      <sheetName val="GLP-ÖZDE-Ç"/>
      <sheetName val="GLP-ÖZDE -P"/>
      <sheetName val="GLP-ÖZDE-ÇMH"/>
      <sheetName val="GLP-ÖZDE-Y"/>
      <sheetName val="ANT KABA"/>
      <sheetName val="ANT KABA-Ç"/>
      <sheetName val="ANT KABA-P"/>
      <sheetName val="ANT KABA-ÇMH"/>
      <sheetName val="ANT  KABA-Y"/>
      <sheetName val="ANEL"/>
      <sheetName val="ANEL-Ç"/>
      <sheetName val="ANEL-P"/>
      <sheetName val="ANEL-ÇMH"/>
      <sheetName val="ANEL-Y"/>
      <sheetName val="ECE Z"/>
      <sheetName val="ECE-Y"/>
      <sheetName val="AKTAŞ"/>
      <sheetName val="AKTAŞ-Y"/>
      <sheetName val="ÖZDE"/>
      <sheetName val="ÖZDE-Y"/>
      <sheetName val="PERSPEKTİF"/>
      <sheetName val="PERS-Ç"/>
      <sheetName val="PERS-P"/>
      <sheetName val="PERS-ÇMH"/>
      <sheetName val="PERS-Y"/>
      <sheetName val="SAFİ"/>
      <sheetName val="SAFİ-Ç"/>
      <sheetName val="SAFİ-P"/>
      <sheetName val="SAFİ-ÇMH"/>
      <sheetName val="SAFİ-Y"/>
      <sheetName val="PİMEKS"/>
      <sheetName val="PİMEKS-Ç"/>
      <sheetName val="PİMEKS-P"/>
      <sheetName val="PİMEKS-ÇMH"/>
      <sheetName val="PİMEKS-Y"/>
      <sheetName val="GÖRGÜLÜ"/>
      <sheetName val="GÖRGÜLÜ-Ç"/>
      <sheetName val="GÖRGÜLÜ-P"/>
      <sheetName val="GÖRGÜLÜ-ÇMH"/>
      <sheetName val="GÖRGÜLÜ-Y"/>
      <sheetName val="PARILTIM"/>
      <sheetName val="PARILTIM-Ç"/>
      <sheetName val="PARILTIM-P"/>
      <sheetName val="PARILTIM-ÇMH"/>
      <sheetName val="GÜLYAPISAN"/>
      <sheetName val="GULY-Ç"/>
      <sheetName val="GULY-P"/>
      <sheetName val="GULYA-ÇMH"/>
      <sheetName val="GULYA-Y"/>
      <sheetName val="GRUPISG"/>
      <sheetName val="GRUPISG-Y"/>
      <sheetName val="WJ"/>
      <sheetName val="WJ-Y"/>
      <sheetName val="GEOGRUP"/>
      <sheetName val="GEO-Ç"/>
      <sheetName val="GEO-P"/>
      <sheetName val="GEO-ÇMH"/>
      <sheetName val="GEO-Y"/>
      <sheetName val="YPMRK"/>
      <sheetName val="YPMRK-Ç"/>
      <sheetName val="YPMRK-P"/>
      <sheetName val="YPMRK-ÇMH"/>
      <sheetName val="YPMRK-Y"/>
      <sheetName val="HKTM"/>
      <sheetName val="HKTM-Ç"/>
      <sheetName val="HKTM-P"/>
      <sheetName val="HKTM-ÇMH"/>
      <sheetName val="HKTM-Y"/>
      <sheetName val="THYSSEN"/>
      <sheetName val="THYSSEN-Ç"/>
      <sheetName val="THYSSEN-P"/>
      <sheetName val="THYSSEN-ÇMH"/>
      <sheetName val="THYSSEN-Y"/>
      <sheetName val="IŞIK"/>
      <sheetName val="IŞIK-Ç"/>
      <sheetName val="IŞIK-P"/>
      <sheetName val="IŞIK-ÇMH"/>
      <sheetName val="IŞIK-Y"/>
      <sheetName val="YKS"/>
      <sheetName val="YKS-Ç"/>
      <sheetName val="YKS-P"/>
      <sheetName val="YKS-ÇMH"/>
      <sheetName val="YKS-Y"/>
      <sheetName val="SKAVAK"/>
      <sheetName val="SK.Y"/>
      <sheetName val="SARSAN"/>
      <sheetName val="SARSAN-Y"/>
      <sheetName val="JUSTEEL"/>
      <sheetName val="JUS-Ç"/>
      <sheetName val="JUS-P"/>
      <sheetName val="JUS-ÇMH"/>
      <sheetName val="JUS-Y"/>
      <sheetName val="DESOS"/>
      <sheetName val="DES-Ç"/>
      <sheetName val="DES-P"/>
      <sheetName val="DES-ÇMH"/>
      <sheetName val="DES-Y"/>
      <sheetName val="NOTERSON"/>
      <sheetName val="NOT-Ç"/>
      <sheetName val="NOT-P"/>
      <sheetName val="NOT-ÇMH"/>
      <sheetName val="NOT-Y"/>
      <sheetName val="KANG"/>
      <sheetName val="KANG-Ç"/>
      <sheetName val="KANG-P"/>
      <sheetName val="KANG-ÇMH"/>
      <sheetName val="KANG-Y"/>
      <sheetName val="DOĞ M"/>
      <sheetName val="DOĞM-Ç"/>
      <sheetName val="DOĞM-P"/>
      <sheetName val="DOĞM-ÇMH"/>
      <sheetName val="DOĞM-Y"/>
      <sheetName val="AKARACA"/>
      <sheetName val="AKARACA-Y"/>
      <sheetName val="İGDAŞ"/>
      <sheetName val="İGDAŞ-Y"/>
      <sheetName val="NOVA"/>
      <sheetName val="NOVA-Y"/>
      <sheetName val="BETONT"/>
      <sheetName val="BETONT-Ç"/>
      <sheetName val="BETONT-P"/>
      <sheetName val="RAYİC"/>
      <sheetName val="35"/>
      <sheetName val="Birim Fiyat"/>
      <sheetName val="Sayfa1 "/>
      <sheetName val="VERİ"/>
      <sheetName val="Comercial"/>
      <sheetName val="Sprachblatt"/>
      <sheetName val="ALTMENP"/>
      <sheetName val="list"/>
      <sheetName val="satış planı (2)"/>
      <sheetName val="Tahsilat"/>
      <sheetName val="Indx. 2012"/>
      <sheetName val="Mizan 1"/>
      <sheetName val="Calc"/>
      <sheetName val="Income Statement"/>
      <sheetName val="CashFlow"/>
      <sheetName val="Кедровский"/>
      <sheetName val="Degiskenler"/>
      <sheetName val="Проект"/>
      <sheetName val="XLR_NoRangeSheet"/>
      <sheetName val="GeneralFeedDevices_Labels"/>
      <sheetName val="Page 1 - Front Sheet"/>
      <sheetName val="kalite hedefleri -tablo icin"/>
      <sheetName val="Description of the Project"/>
      <sheetName val="COST-TZ"/>
      <sheetName val="Birim Fiyatlar"/>
      <sheetName val="YBF-Erke"/>
      <sheetName val="SUMMARY_BQ"/>
      <sheetName val="tahakkuk_müzekkeresi_1"/>
      <sheetName val="Birim_Fiyat"/>
      <sheetName val="satış_planı_(2)"/>
      <sheetName val="Mizan_1"/>
      <sheetName val="Income_Statement"/>
      <sheetName val="Project data sheet"/>
      <sheetName val="Welcome"/>
      <sheetName val="Taux&amp;Keys"/>
      <sheetName val="A ENGAGER"/>
      <sheetName val="BUDGET"/>
      <sheetName val="SUIVI"/>
      <sheetName val="노임단가"/>
      <sheetName val="공문"/>
      <sheetName val="建筑"/>
      <sheetName val="Malaysia incl. RET"/>
      <sheetName val="Heat"/>
      <sheetName val="Ф"/>
      <sheetName val="Q&amp;pl-V"/>
      <sheetName val="FCTRS"/>
      <sheetName val="CONCRETE"/>
      <sheetName val="Page1"/>
      <sheetName val="General"/>
      <sheetName val="Off gas ex Platformer"/>
      <sheetName val="Time_schedule8"/>
      <sheetName val="HUD_YOLU_DUVAR_8_MT7"/>
      <sheetName val="ÖNGERME_Pİ_PLAK7"/>
      <sheetName val="Basic_calculation_(optimistic)6"/>
      <sheetName val="ЭХЗ_по_изометрии6"/>
      <sheetName val="BUS_BAR6"/>
      <sheetName val="YENİ_RAYİÇ6"/>
      <sheetName val="YENİ_RAYİÇUSD6"/>
      <sheetName val="DIŞ_SIVA-DIŞ_CEPHE_ELEM6"/>
      <sheetName val="İÇME-SULAMA_SUYU6"/>
      <sheetName val="SERT_SATIH6"/>
      <sheetName val="DOLAR_KURLARI6"/>
      <sheetName val="içindekiler_6"/>
      <sheetName val="DIŞ_SIVA-DIŞ_CEPHE_ELEMUSD6"/>
      <sheetName val="İÇME-SULAMA_SUYUUSD6"/>
      <sheetName val="SERT_SATIHUSD6"/>
      <sheetName val="sayfa_no6"/>
      <sheetName val="KAPALI_OTOPARK6"/>
      <sheetName val="ALT_YAPI6"/>
      <sheetName val="Finansal_tamamlanma_Eğrisi6"/>
      <sheetName val="INDIRECT_COST6"/>
      <sheetName val="icmal__(2)6"/>
      <sheetName val="Graphical_Data6"/>
      <sheetName val="Sec_A_Buildsoft_Input6"/>
      <sheetName val="Section_A_Breakdown6"/>
      <sheetName val="Sec_B_Buildsoft_Input6"/>
      <sheetName val="Sec_C_Buildsoft_Input6"/>
      <sheetName val="Sec_D_Buildsoft_Input6"/>
      <sheetName val="Sec_E_Buildsoft_Input6"/>
      <sheetName val="Summary_20026"/>
      <sheetName val="Share_Price_20026"/>
      <sheetName val="A(Rev_3)6"/>
      <sheetName val="1_11_b6"/>
      <sheetName val="Unit_Prices6"/>
      <sheetName val="ALTYAPI_KESIF6"/>
      <sheetName val="КП_Форум-Тверь6"/>
      <sheetName val="КП_АВФ6"/>
      <sheetName val="КП_Технология_комфорта6"/>
      <sheetName val="КП_КИТ6"/>
      <sheetName val="КП_Мичич6"/>
      <sheetName val="AOP_Summary-26"/>
      <sheetName val="FILTER_SCH6"/>
      <sheetName val="4895_ADA6"/>
      <sheetName val="Total_Price6"/>
      <sheetName val="348F-TAHL_6"/>
      <sheetName val="_N_Finansal_Eğri6"/>
      <sheetName val="5_6-KSANTRALLER6"/>
      <sheetName val="СМЕТА_проект"/>
      <sheetName val="SUMMARY_BQ1"/>
      <sheetName val="tahakkuk_müzekkeresi_11"/>
      <sheetName val="ORT_KL"/>
      <sheetName val="GLP-ÖZDE_-P"/>
      <sheetName val="ANT_KABA"/>
      <sheetName val="ANT_KABA-Ç"/>
      <sheetName val="ANT_KABA-P"/>
      <sheetName val="ANT_KABA-ÇMH"/>
      <sheetName val="ANT__KABA-Y"/>
      <sheetName val="ECE_Z"/>
      <sheetName val="SK_Y"/>
      <sheetName val="DOĞ_M"/>
      <sheetName val="Birim_Fiyat1"/>
      <sheetName val="Sayfa1_"/>
      <sheetName val="satış_planı_(2)1"/>
      <sheetName val="Indx__2012"/>
      <sheetName val="Mizan_11"/>
      <sheetName val="Income_Statement1"/>
      <sheetName val="Page_1_-_Front_Sheet"/>
      <sheetName val="kalite_hedefleri_-tablo_icin"/>
      <sheetName val="Description_of_the_Project"/>
      <sheetName val="Birim_Fiyatlar"/>
      <sheetName val="Project_data_sheet"/>
      <sheetName val="Malaysia_incl__RET"/>
      <sheetName val="A_ENGAG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J,RJE"/>
      <sheetName val="breakdown"/>
      <sheetName val="Tickmarks"/>
      <sheetName val="Worksheet in (C) 5140-XXXX Cash"/>
      <sheetName val="Sheet1"/>
      <sheetName val="Tier 31.12.08"/>
      <sheetName val="31_12_01"/>
      <sheetName val="Резерв отпусков"/>
      <sheetName val="Taxes rec for 12m inc 90% envir"/>
      <sheetName val="Справочник"/>
      <sheetName val="ЗКЛ"/>
      <sheetName val="Tax"/>
      <sheetName val="Pro Forma"/>
      <sheetName val="Tier 31.08.07"/>
      <sheetName val="XLR_NoRangeSheet"/>
      <sheetName val="Tier1"/>
      <sheetName val="Сводка по ПН"/>
      <sheetName val="Сравнение ДПН факт 06-07"/>
      <sheetName val="summary"/>
      <sheetName val="Daily_report"/>
      <sheetName val="реестр отгрузка"/>
      <sheetName val="IC elimination within region"/>
      <sheetName val="Tier 31.12.10"/>
      <sheetName val="Март"/>
      <sheetName val="Сентябрь"/>
      <sheetName val="Квартал"/>
      <sheetName val="Январь"/>
      <sheetName val="Декабрь"/>
      <sheetName val="Ноябрь"/>
      <sheetName val="МБП"/>
      <sheetName val="Tier 07"/>
      <sheetName val="Tier 06"/>
      <sheetName val="16 ОС до 20 т.р."/>
      <sheetName val="Лист3"/>
      <sheetName val="3"/>
      <sheetName val="4"/>
      <sheetName val="5"/>
      <sheetName val="6"/>
      <sheetName val="XLRpt_TempSheet"/>
      <sheetName val="Sub group code &amp; Name"/>
      <sheetName val="Tax breakdown"/>
      <sheetName val="трансформация1"/>
      <sheetName val="BS"/>
      <sheetName val="Balances"/>
      <sheetName val="Шкаф"/>
      <sheetName val="топография"/>
      <sheetName val="Коэфф1."/>
      <sheetName val="Амур ДОН"/>
      <sheetName val="Прайс лист"/>
      <sheetName val="Смета"/>
      <sheetName val="Лист опроса"/>
      <sheetName val="топо"/>
      <sheetName val="свод 2"/>
      <sheetName val="Calc"/>
      <sheetName val="ИД"/>
      <sheetName val="исходные данные"/>
      <sheetName val="свод 3"/>
      <sheetName val="расчетные таблицы"/>
      <sheetName val="total"/>
      <sheetName val="Комплектация"/>
      <sheetName val="трубы"/>
      <sheetName val="СМР"/>
      <sheetName val="дороги"/>
      <sheetName val="ПДР"/>
      <sheetName val="Обновление"/>
      <sheetName val="Цена"/>
      <sheetName val="Product"/>
      <sheetName val="Б.Сатка"/>
      <sheetName val="Исполнение по оборуд_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Лист2"/>
      <sheetName val="RJE"/>
      <sheetName val="Adjustment schedule"/>
      <sheetName val="Прибыль опл"/>
      <sheetName val="к.84-к.83"/>
      <sheetName val="13.1"/>
      <sheetName val="УП _2004"/>
      <sheetName val="ц_1991"/>
      <sheetName val="sapactivexlhiddensheet"/>
      <sheetName val="Данные для расчёта сметы"/>
      <sheetName val="RSOILBAL"/>
      <sheetName val="Справочные данные"/>
      <sheetName val="Destination"/>
      <sheetName val="Дополнительные параметры"/>
      <sheetName val="Salary"/>
      <sheetName val="Персонал"/>
      <sheetName val="АЧ"/>
      <sheetName val="list"/>
      <sheetName val="ADJ Norilsk"/>
      <sheetName val="IS Norilsk"/>
      <sheetName val="Reconciliation"/>
      <sheetName val="Client"/>
      <sheetName val="база"/>
      <sheetName val="#¡REF"/>
      <sheetName val="Orçamento"/>
      <sheetName val="Кедровский"/>
      <sheetName val="Титул"/>
      <sheetName val="SOV tot"/>
      <sheetName val="Adj2002"/>
      <sheetName val="ETRS"/>
      <sheetName val="BM"/>
      <sheetName val=" 8230.07+"/>
      <sheetName val="8230.06+"/>
      <sheetName val="хранение 8230.08+"/>
      <sheetName val="Info"/>
      <sheetName val="XRates"/>
      <sheetName val="ф сплавы"/>
      <sheetName val="Data USA Cdn$"/>
      <sheetName val="Data USA US$"/>
      <sheetName val="XREF"/>
      <sheetName val="Breakdown AR"/>
      <sheetName val="+5610.04"/>
      <sheetName val="30"/>
      <sheetName val="18"/>
      <sheetName val="22"/>
      <sheetName val="#REF"/>
      <sheetName val="стр181"/>
      <sheetName val="Mobile_Fin"/>
      <sheetName val="O11_UST_PIT payments"/>
      <sheetName val="Sheet2"/>
      <sheetName val="현금흐름표"/>
      <sheetName val="Movement"/>
      <sheetName val="Процедуры из библиотеки"/>
      <sheetName val="Menu"/>
      <sheetName val="Template"/>
      <sheetName val="ТочноеЛитье(М)"/>
      <sheetName val="Интермаркетинг(А)"/>
      <sheetName val="Лексфилд(М)"/>
      <sheetName val="НефтянойРезерв(А)"/>
      <sheetName val="Энергоэксплуатация(М)"/>
      <sheetName val="BD provision"/>
      <sheetName val="23"/>
      <sheetName val="CE"/>
      <sheetName val="P&amp;L"/>
      <sheetName val="Rev Domestic Dec09"/>
      <sheetName val="CCNN AUG 97"/>
      <sheetName val="AR summary "/>
      <sheetName val="5930.01"/>
      <sheetName val="Grouplist"/>
      <sheetName val="AJE, RJE"/>
      <sheetName val="NewCashFlow"/>
      <sheetName val=" "/>
      <sheetName val="COS reconciliation"/>
      <sheetName val="9m CMA"/>
      <sheetName val="Q4 CMA"/>
      <sheetName val="VKPM"/>
      <sheetName val="Note"/>
      <sheetName val=" N Finansal Eğri"/>
      <sheetName val="산근"/>
      <sheetName val="BA "/>
      <sheetName val="анализ"/>
      <sheetName val="стр181_x0000_醿䞃退ȃ_x0000__x0000__x0000_°ſɧ_x0000_횐˜ɧ_x0000_̶"/>
      <sheetName val="_Worksheet_in__C__5140_XXXX_C_2"/>
      <sheetName val="PERSONNELIST"/>
      <sheetName val="Heat"/>
      <sheetName val="Debt"/>
      <sheetName val="COVER"/>
      <sheetName val="Forecast"/>
      <sheetName val="LOB"/>
      <sheetName val="DRUM"/>
      <sheetName val="Cause&amp;Effects"/>
      <sheetName val="ExchRate"/>
      <sheetName val="2 - Weather"/>
      <sheetName val="a) Core Financials"/>
      <sheetName val="PMC_ORG"/>
      <sheetName val="СВОДНАЯ "/>
      <sheetName val="ЭХЗ по изометрии"/>
      <sheetName val="Q&amp;pl-V"/>
      <sheetName val="reference"/>
      <sheetName val="12CGOU"/>
      <sheetName val="PIPING_total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RECT COST (2)"/>
      <sheetName val="Finishing-General"/>
      <sheetName val="Summary"/>
      <sheetName val="ROOM BOOK"/>
      <sheetName val="COST-TZ"/>
      <sheetName val="Galleria"/>
      <sheetName val="Mall Coridors-WintGard"/>
      <sheetName val="walls"/>
      <sheetName val="car park"/>
      <sheetName val="SP INDIREK"/>
      <sheetName val="FFE"/>
      <sheetName val="int. Windows"/>
      <sheetName val="exterior steel U-Kolle"/>
      <sheetName val="interior steel U-Kolle"/>
      <sheetName val="mega- wooden"/>
      <sheetName val="sectional doors"/>
      <sheetName val="Feuil1"/>
      <sheetName val="Özet"/>
      <sheetName val="COST_TZ"/>
      <sheetName val="Finansal tamamlanma Eğrisi"/>
      <sheetName val="Data"/>
      <sheetName val="Katsayılar"/>
      <sheetName val="Cinema Calc RC Mezzanine"/>
      <sheetName val="NAME"/>
      <sheetName val="DIRECT_COST_(2)"/>
      <sheetName val="ROOM_BOOK"/>
      <sheetName val="Mall_Coridors-WintGard"/>
      <sheetName val="car_park"/>
      <sheetName val="SP_INDIREK"/>
      <sheetName val="int__Windows"/>
      <sheetName val="exterior_steel_U-Kolle"/>
      <sheetName val="interior_steel_U-Kolle"/>
      <sheetName val="mega-_wooden"/>
      <sheetName val="sectional_doors"/>
      <sheetName val="Finansal_tamamlanma_Eğrisi"/>
      <sheetName val="3.5K_1-2-3"/>
      <sheetName val="Бюждет МОСФИЛЬМ стадияП (3)"/>
      <sheetName val="Data Entry"/>
      <sheetName val="DIRECT_COST_(2)1"/>
      <sheetName val="ROOM_BOOK1"/>
      <sheetName val="Mall_Coridors-WintGard1"/>
      <sheetName val="car_park1"/>
      <sheetName val="SP_INDIREK1"/>
      <sheetName val="int__Windows1"/>
      <sheetName val="exterior_steel_U-Kolle1"/>
      <sheetName val="interior_steel_U-Kolle1"/>
      <sheetName val="mega-_wooden1"/>
      <sheetName val="sectional_doors1"/>
      <sheetName val="Finansal_tamamlanma_Eğrisi1"/>
      <sheetName val="Cinema_Calc_RC_Mezzanine"/>
      <sheetName val="3_5K_1-2-3"/>
      <sheetName val="payment list"/>
      <sheetName val="Data_Entry"/>
      <sheetName val="INDIRECT COST"/>
      <sheetName val="Income Statement"/>
      <sheetName val="ARGUS"/>
      <sheetName val="Yonetici Raporu"/>
      <sheetName val="Report3"/>
      <sheetName val="DIRECT_COST_(2)2"/>
      <sheetName val="ROOM_BOOK2"/>
      <sheetName val="Mall_Coridors-WintGard2"/>
      <sheetName val="car_park2"/>
      <sheetName val="SP_INDIREK2"/>
      <sheetName val="int__Windows2"/>
      <sheetName val="exterior_steel_U-Kolle2"/>
      <sheetName val="interior_steel_U-Kolle2"/>
      <sheetName val="mega-_wooden2"/>
      <sheetName val="sectional_doors2"/>
      <sheetName val="Finansal_tamamlanma_Eğrisi2"/>
      <sheetName val="Cinema_Calc_RC_Mezzanine1"/>
      <sheetName val="3_5K_1-2-31"/>
      <sheetName val="Data_Entry1"/>
      <sheetName val="Бюждет_МОСФИЛЬМ_стадияП_(3)"/>
      <sheetName val="CABLIST"/>
      <sheetName val="YONETIM MASASI"/>
      <sheetName val="payment_list"/>
      <sheetName val="sal"/>
      <sheetName val="13.Veri Bankası"/>
      <sheetName val="NDOCBT"/>
      <sheetName val="POZLAR"/>
      <sheetName val="Общий"/>
      <sheetName val="Выполненные (Общий)"/>
      <sheetName val="Проектирование"/>
      <sheetName val="Выполненные (Проектирование)"/>
      <sheetName val="Артистик"/>
      <sheetName val="Выполненные (Артистик)"/>
      <sheetName val="!Данные для протокола"/>
      <sheetName val="Sheet1"/>
      <sheetName val=" N Finansal Eğri"/>
      <sheetName val="Personnel"/>
      <sheetName val="BOQ_TZ"/>
      <sheetName val="w't table"/>
      <sheetName val="CAM HESABI"/>
      <sheetName val="PriceSummary"/>
      <sheetName val="senaryo1"/>
      <sheetName val="Mech. Summary"/>
      <sheetName val="YDK"/>
      <sheetName val="Gerilim Düşümü"/>
      <sheetName val="directcosts"/>
      <sheetName val="RC-BALTIKA Butce Formu"/>
      <sheetName val="Cover"/>
      <sheetName val="AOP Summary-2"/>
      <sheetName val="ЦZET"/>
      <sheetName val="ANALIZ"/>
      <sheetName val="ROSTOV AVM (INSAAT ISLER)"/>
      <sheetName val="ROSTOV AVM (PROJE ISLER)"/>
      <sheetName val="ROSTOV AVM (TOPRAK)"/>
      <sheetName val="бюджет на месяц"/>
      <sheetName val="PROJE TANIM"/>
      <sheetName val="Currency"/>
      <sheetName val="Ангара"/>
      <sheetName val="icmal  (2)"/>
      <sheetName val="BS+PL 2007 USD"/>
      <sheetName val="산근"/>
      <sheetName val="XREF"/>
      <sheetName val="списки"/>
      <sheetName val="Table"/>
      <sheetName val="C3"/>
      <sheetName val="parametreler"/>
      <sheetName val="PDS U-1400"/>
      <sheetName val="INPUT DATA"/>
      <sheetName val="1"/>
      <sheetName val="수입"/>
      <sheetName val="BLDG_DCI"/>
      <sheetName val="BLDG_MCI"/>
      <sheetName val="Смет.Вед. мех. работ"/>
      <sheetName val="Segment"/>
      <sheetName val="XLR_NoRangeSheet"/>
      <sheetName val="Kat Elin"/>
      <sheetName val="Gelir - Gider Bütçe"/>
      <sheetName val="Nakit Bütçe"/>
      <sheetName val="imalat_icmal"/>
      <sheetName val="mal_onay"/>
      <sheetName val="T1"/>
      <sheetName val="İlk Yapılacak"/>
      <sheetName val="Breakdown AR"/>
      <sheetName val="DIRECT_COST_(2)3"/>
      <sheetName val="ROOM_BOOK3"/>
      <sheetName val="Mall_Coridors-WintGard3"/>
      <sheetName val="car_park3"/>
      <sheetName val="SP_INDIREK3"/>
      <sheetName val="int__Windows3"/>
      <sheetName val="exterior_steel_U-Kolle3"/>
      <sheetName val="interior_steel_U-Kolle3"/>
      <sheetName val="mega-_wooden3"/>
      <sheetName val="sectional_doors3"/>
      <sheetName val="Finansal_tamamlanma_Eğrisi3"/>
      <sheetName val="Cinema_Calc_RC_Mezzanine2"/>
      <sheetName val="Data_Entry2"/>
      <sheetName val="3_5K_1-2-32"/>
      <sheetName val="Бюждет_МОСФИЛЬМ_стадияП_(3)1"/>
      <sheetName val="payment_list1"/>
      <sheetName val="INDIRECT_COST"/>
      <sheetName val="Income_Statement"/>
      <sheetName val="Yonetici_Raporu"/>
      <sheetName val="YONETIM_MASASI"/>
      <sheetName val="Mech__Summary"/>
      <sheetName val="CAM_HESABI"/>
      <sheetName val="_N_Finansal_Eğri"/>
      <sheetName val="Выполненные_(Общий)"/>
      <sheetName val="Выполненные_(Проектирование)"/>
      <sheetName val="Выполненные_(Артистик)"/>
      <sheetName val="!Данные_для_протокола"/>
      <sheetName val="PDS_U-1400"/>
      <sheetName val="INPUT_DATA"/>
      <sheetName val="w't_table"/>
      <sheetName val="13_Veri_Bankası"/>
      <sheetName val="PROJE_TANIM"/>
      <sheetName val="Analiz_Doğrama"/>
      <sheetName val="BAZA KATI"/>
      <sheetName val="Keşif İcmali"/>
      <sheetName val="Kapak"/>
      <sheetName val="Data Input"/>
      <sheetName val="Organizasyon"/>
      <sheetName val="YK Nat. Gas (Off-site)"/>
      <sheetName val="FitOutConfCentre"/>
      <sheetName val="TABLO-3"/>
      <sheetName val="Технические характеристики"/>
      <sheetName val="КП RD4, ОТДЕЛКА ПО RAL"/>
      <sheetName val="КП RD4, ОТДЕЛКА НЕРЖ. СТАЛЬЮ"/>
      <sheetName val="КП RD3, ОТДЕЛКА ПО RAL"/>
      <sheetName val="КП RD3, ОТДЕЛКА НЕРЖ. СТАЛЬ"/>
      <sheetName val=""/>
      <sheetName val="Analiz-dec"/>
      <sheetName val="7"/>
      <sheetName val="TEPs"/>
      <sheetName val="Forecast"/>
      <sheetName val="Cash2"/>
      <sheetName val="Z"/>
      <sheetName val="Imalat Aciklamaları ve degerler"/>
      <sheetName val="yeşil defter-1"/>
      <sheetName val="Sayfa1"/>
      <sheetName val="Kabuller"/>
      <sheetName val="share price 2002"/>
      <sheetName val="13+620-13+980(ÖM)"/>
      <sheetName val="fxrates01-00-99"/>
      <sheetName val="ICMAL"/>
      <sheetName val="DOKUMyan"/>
      <sheetName val="DÖVİZ"/>
      <sheetName val="B1(2B) BLOK BEDELİ"/>
      <sheetName val="LOB"/>
      <sheetName val="Gen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 t="str">
            <v>Description</v>
          </cell>
        </row>
        <row r="2">
          <cell r="B2" t="str">
            <v>Казуров С., Котова С., Керосинский М., Шокин А., Магдыч Д.</v>
          </cell>
        </row>
        <row r="3">
          <cell r="B3" t="str">
            <v>DESIGN</v>
          </cell>
        </row>
        <row r="4">
          <cell r="B4" t="str">
            <v>Architects</v>
          </cell>
        </row>
        <row r="5">
          <cell r="B5" t="str">
            <v>Structural engineering</v>
          </cell>
        </row>
        <row r="6">
          <cell r="B6" t="str">
            <v>Installation engineering - HVAC/Sanitary</v>
          </cell>
        </row>
        <row r="7">
          <cell r="B7" t="str">
            <v>Installation engineering - Fire protection</v>
          </cell>
        </row>
        <row r="8">
          <cell r="B8" t="str">
            <v>Installation engineering - Electrical</v>
          </cell>
        </row>
        <row r="9">
          <cell r="B9" t="str">
            <v>Site Geological Survey</v>
          </cell>
        </row>
        <row r="10">
          <cell r="B10" t="str">
            <v>PPR, Ecological Waste projects, Temporary site lighting, and other projects</v>
          </cell>
        </row>
        <row r="11">
          <cell r="B11" t="str">
            <v>BASE BUILDING</v>
          </cell>
        </row>
        <row r="12">
          <cell r="B12" t="str">
            <v>Ground works, building foundation
(including insulation works)</v>
          </cell>
        </row>
        <row r="13">
          <cell r="B13">
            <v>6</v>
          </cell>
        </row>
        <row r="14">
          <cell r="B14" t="str">
            <v>Ground Works</v>
          </cell>
        </row>
        <row r="15">
          <cell r="B15">
            <v>8</v>
          </cell>
        </row>
        <row r="16">
          <cell r="B16" t="str">
            <v>Разработка грунта экскаватором без вывоза</v>
          </cell>
        </row>
        <row r="17">
          <cell r="B17">
            <v>10</v>
          </cell>
        </row>
        <row r="18">
          <cell r="B18" t="str">
            <v xml:space="preserve">Обратная засыпка пазух фундаментов привозным песком </v>
          </cell>
        </row>
        <row r="19">
          <cell r="B19" t="str">
            <v>Foundation works</v>
          </cell>
        </row>
        <row r="20">
          <cell r="B20">
            <v>13</v>
          </cell>
        </row>
        <row r="21">
          <cell r="B21">
            <v>14</v>
          </cell>
        </row>
        <row r="22">
          <cell r="B22">
            <v>13</v>
          </cell>
        </row>
        <row r="23">
          <cell r="B23">
            <v>14</v>
          </cell>
        </row>
        <row r="24">
          <cell r="B24" t="str">
            <v>Foundation works</v>
          </cell>
        </row>
        <row r="25">
          <cell r="B25" t="str">
            <v>Монолитные  ж/б столбчатые фундаменты</v>
          </cell>
        </row>
        <row r="26">
          <cell r="B26" t="str">
            <v>Бетон В 25, F 75</v>
          </cell>
        </row>
        <row r="27">
          <cell r="B27" t="str">
            <v>Монтаж и демонтаж опалубки</v>
          </cell>
        </row>
        <row r="28">
          <cell r="B28" t="str">
            <v>Арматура</v>
          </cell>
        </row>
        <row r="29">
          <cell r="B29" t="str">
            <v>Монолитные ж/б приямки лифтов и эскалаторов</v>
          </cell>
        </row>
        <row r="30">
          <cell r="B30" t="str">
            <v>Бетон В 25</v>
          </cell>
        </row>
        <row r="31">
          <cell r="B31" t="str">
            <v>Монтаж и демонтаж опалубки</v>
          </cell>
        </row>
        <row r="32">
          <cell r="B32" t="str">
            <v>Арматура</v>
          </cell>
        </row>
        <row r="33">
          <cell r="B33" t="str">
            <v>Арматура</v>
          </cell>
        </row>
        <row r="34">
          <cell r="B34" t="str">
            <v>Монолитные ж/б приямки лифтов и эскалаторов</v>
          </cell>
        </row>
        <row r="35">
          <cell r="B35" t="str">
            <v>Бетон В 25</v>
          </cell>
        </row>
        <row r="36">
          <cell r="B36" t="str">
            <v>Монтаж и демонтаж опалубки</v>
          </cell>
        </row>
        <row r="37">
          <cell r="B37" t="str">
            <v>Арматура</v>
          </cell>
        </row>
        <row r="38">
          <cell r="B38" t="str">
            <v>Арматура</v>
          </cell>
        </row>
        <row r="39">
          <cell r="B39" t="str">
            <v>Монолитные ж/б приямки лифтов и эскалаторов</v>
          </cell>
        </row>
        <row r="40">
          <cell r="B40" t="str">
            <v>Бетон В 25</v>
          </cell>
        </row>
        <row r="41">
          <cell r="B41" t="str">
            <v>Монтаж и демонтаж опалубки</v>
          </cell>
        </row>
        <row r="42">
          <cell r="B42" t="str">
            <v>Арматура</v>
          </cell>
        </row>
        <row r="43">
          <cell r="B43" t="str">
            <v>Арматура</v>
          </cell>
        </row>
        <row r="45">
          <cell r="B45" t="str">
            <v>Бетон В 25</v>
          </cell>
        </row>
        <row r="46">
          <cell r="B46" t="str">
            <v>Монтаж и демонтаж опалубки</v>
          </cell>
        </row>
        <row r="47">
          <cell r="B47" t="str">
            <v>Арматура</v>
          </cell>
        </row>
        <row r="48">
          <cell r="B48" t="str">
            <v>Монолитные  ж/б столбчатые фундаменты</v>
          </cell>
        </row>
        <row r="49">
          <cell r="B49" t="str">
            <v>Бетон В 25, F 75</v>
          </cell>
        </row>
        <row r="50">
          <cell r="B50" t="str">
            <v>Арматура</v>
          </cell>
        </row>
        <row r="51">
          <cell r="B51" t="str">
            <v>Монолитные  ж/б столбчатые фундаменты</v>
          </cell>
        </row>
        <row r="52">
          <cell r="B52" t="str">
            <v>Монолитные  ж/б столбчатые фундаменты</v>
          </cell>
        </row>
        <row r="53">
          <cell r="B53" t="str">
            <v>Бетон В 25, F 75</v>
          </cell>
        </row>
        <row r="54">
          <cell r="B54" t="str">
            <v>Арматура</v>
          </cell>
        </row>
        <row r="55">
          <cell r="B55" t="str">
            <v>Монолитные  ж/б столбчатые фундаменты</v>
          </cell>
        </row>
        <row r="56">
          <cell r="B56" t="str">
            <v>Монолитные  ж/б столбчатые фундаменты</v>
          </cell>
        </row>
        <row r="57">
          <cell r="B57" t="str">
            <v>Бетон В 25, F 75</v>
          </cell>
        </row>
        <row r="58">
          <cell r="B58" t="str">
            <v>Арматура</v>
          </cell>
        </row>
        <row r="59">
          <cell r="B59" t="str">
            <v>Монолитные  ж/б столбчатые фундаменты</v>
          </cell>
        </row>
        <row r="61">
          <cell r="B61" t="str">
            <v xml:space="preserve">Lean Concrete </v>
          </cell>
        </row>
        <row r="62">
          <cell r="B62" t="str">
            <v>Подготовка из бетона В 7,5 толщ. 100 мм под плиту пола и крыльца</v>
          </cell>
        </row>
        <row r="69">
          <cell r="B69" t="str">
            <v xml:space="preserve">Insulation Works </v>
          </cell>
        </row>
        <row r="70">
          <cell r="B70" t="str">
            <v>Обмазка фундаментов горячим битумом за 2 раза.</v>
          </cell>
        </row>
        <row r="71">
          <cell r="B71" t="str">
            <v>П/э плёнка толщ. 200 мкм  (Плита пола)</v>
          </cell>
        </row>
        <row r="72">
          <cell r="B72" t="str">
            <v>П/э плёнка толщ. 200 мкм  (Плита пола)</v>
          </cell>
        </row>
        <row r="73">
          <cell r="B73" t="str">
            <v>Теплоизоляция полов из пенополистирола ПСБ-С-35 толщ. 100мм, по периметру   (Плита пола)</v>
          </cell>
        </row>
        <row r="74">
          <cell r="B74" t="str">
            <v>П/э плёнка толщ. 200 мкм  (Плита пола)</v>
          </cell>
        </row>
        <row r="75">
          <cell r="B75" t="str">
            <v>П/э плёнка толщ. 200 мкм  (Плита пола)</v>
          </cell>
        </row>
        <row r="76">
          <cell r="B76" t="str">
            <v>П/э плёнка толщ. 200 мкм  (Плита пола)</v>
          </cell>
        </row>
        <row r="77">
          <cell r="B77" t="str">
            <v>Теплоизоляция полов из пенополистирола ПСБ-С-35 толщ. 100мм, по периметру   (Плита пола)</v>
          </cell>
        </row>
        <row r="78">
          <cell r="B78" t="str">
            <v>Гидропрокладки Waterstop (Приямки)</v>
          </cell>
        </row>
        <row r="79">
          <cell r="B79" t="str">
            <v xml:space="preserve">Теплоизоляция  наружных стен ниже поверхности земли из экструдированного пенополистирола толщ. 70мм </v>
          </cell>
        </row>
        <row r="80">
          <cell r="B80" t="str">
            <v>Underslab Utilities</v>
          </cell>
        </row>
        <row r="81">
          <cell r="B81" t="str">
            <v>Structure</v>
          </cell>
        </row>
        <row r="82">
          <cell r="B82" t="str">
            <v>Columns ground floor; retaining walls under slab</v>
          </cell>
        </row>
        <row r="83">
          <cell r="B83" t="str">
            <v>Монолитные ж\б колонны сеч. Diam. O 800 мм (нагрузка 0,5 t, 1,0 t, 1,3 тн)</v>
          </cell>
        </row>
        <row r="84">
          <cell r="B84" t="str">
            <v>Бетон В 35</v>
          </cell>
        </row>
        <row r="85">
          <cell r="B85" t="str">
            <v>Монтаж и демонтаж опалубки</v>
          </cell>
        </row>
        <row r="86">
          <cell r="B86" t="str">
            <v>Арматура</v>
          </cell>
        </row>
        <row r="87">
          <cell r="B87" t="str">
            <v>Монолитные ж/б  наружные стены в местах разгрузки ( с отм. 0.000 до + 4.700) толщ. 300 мм</v>
          </cell>
        </row>
        <row r="88">
          <cell r="B88" t="str">
            <v>Бетон В 25, F 100</v>
          </cell>
        </row>
        <row r="89">
          <cell r="B89" t="str">
            <v>Монтаж и демонтаж опалубки</v>
          </cell>
        </row>
        <row r="90">
          <cell r="B90" t="str">
            <v>Арматура</v>
          </cell>
        </row>
        <row r="91">
          <cell r="B91" t="str">
            <v>Монолитные ж/б  наружные стены в местах разгрузки ( с отм. 0.000 до + 4.700) толщ. 300 мм</v>
          </cell>
        </row>
        <row r="92">
          <cell r="B92" t="str">
            <v>Бетон В 25, F 100</v>
          </cell>
        </row>
        <row r="93">
          <cell r="B93" t="str">
            <v>Монтаж и демонтаж опалубки</v>
          </cell>
        </row>
        <row r="94">
          <cell r="B94" t="str">
            <v>Арматура</v>
          </cell>
        </row>
        <row r="95">
          <cell r="B95" t="str">
            <v>Монолитные ж/б  наружные стены в местах разгрузки ( с отм. 0.000 до + 4.700) толщ. 300 мм</v>
          </cell>
        </row>
        <row r="96">
          <cell r="B96" t="str">
            <v>Бетон В 25, F 100</v>
          </cell>
        </row>
        <row r="97">
          <cell r="B97" t="str">
            <v>Монтаж и демонтаж опалубки</v>
          </cell>
        </row>
        <row r="98">
          <cell r="B98" t="str">
            <v>Арматура</v>
          </cell>
        </row>
        <row r="99">
          <cell r="B99" t="str">
            <v>Concrete stairs</v>
          </cell>
        </row>
        <row r="100">
          <cell r="B100" t="str">
            <v>Монолитные ж\б лестницы</v>
          </cell>
        </row>
        <row r="101">
          <cell r="B101" t="str">
            <v>Бетон В 25</v>
          </cell>
        </row>
        <row r="102">
          <cell r="B102" t="str">
            <v>Монтаж и демонтаж опалубки</v>
          </cell>
        </row>
        <row r="103">
          <cell r="B103" t="str">
            <v>Арматура</v>
          </cell>
        </row>
        <row r="104">
          <cell r="B104" t="str">
            <v>Монолитные ж\б лестницы</v>
          </cell>
        </row>
        <row r="105">
          <cell r="B105" t="str">
            <v>Бетон В 25</v>
          </cell>
        </row>
        <row r="106">
          <cell r="B106" t="str">
            <v>Монтаж и демонтаж опалубки</v>
          </cell>
        </row>
        <row r="107">
          <cell r="B107" t="str">
            <v>Арматура</v>
          </cell>
        </row>
        <row r="108">
          <cell r="B108" t="str">
            <v>Монолитные ж\б лестницы</v>
          </cell>
        </row>
        <row r="109">
          <cell r="B109" t="str">
            <v>Бетон В 25</v>
          </cell>
        </row>
        <row r="110">
          <cell r="B110" t="str">
            <v>Монтаж и демонтаж опалубки</v>
          </cell>
        </row>
        <row r="111">
          <cell r="B111" t="str">
            <v>Арматура</v>
          </cell>
        </row>
        <row r="112">
          <cell r="B112" t="str">
            <v>Slab</v>
          </cell>
        </row>
        <row r="113">
          <cell r="B113" t="str">
            <v>Монолитное ж\б балочное перекрытие (нагрузка 0,5 тн)</v>
          </cell>
        </row>
        <row r="114">
          <cell r="B114" t="str">
            <v>Бетон В 30</v>
          </cell>
        </row>
        <row r="115">
          <cell r="B115" t="str">
            <v>Монтаж и демонтаж опалубки</v>
          </cell>
        </row>
        <row r="116">
          <cell r="B116" t="str">
            <v>Арматура</v>
          </cell>
        </row>
        <row r="117">
          <cell r="B117" t="str">
            <v>Монолитное ж\б балочное перекрытие (нагрузка 1 тн)</v>
          </cell>
        </row>
        <row r="118">
          <cell r="B118" t="str">
            <v>Бетон В 30</v>
          </cell>
        </row>
        <row r="119">
          <cell r="B119" t="str">
            <v>Монтаж и демонтаж опалубки</v>
          </cell>
        </row>
        <row r="120">
          <cell r="B120" t="str">
            <v>Арматура</v>
          </cell>
        </row>
        <row r="121">
          <cell r="B121" t="str">
            <v>Монолитное ж\б балочное перекрытие (нагрузка 1,3 тн)</v>
          </cell>
        </row>
        <row r="122">
          <cell r="B122" t="str">
            <v>Бетон В 30</v>
          </cell>
        </row>
        <row r="123">
          <cell r="B123" t="str">
            <v>Монтаж и демонтаж опалубки</v>
          </cell>
        </row>
        <row r="124">
          <cell r="B124" t="str">
            <v>Арматура</v>
          </cell>
        </row>
        <row r="125">
          <cell r="B125" t="str">
            <v>Монолитное ж\б балочное перекрытие (нагрузка 3 тн)</v>
          </cell>
        </row>
        <row r="126">
          <cell r="B126" t="str">
            <v>Бетон В 30</v>
          </cell>
        </row>
        <row r="127">
          <cell r="B127" t="str">
            <v>Монтаж и демонтаж опалубки</v>
          </cell>
        </row>
        <row r="128">
          <cell r="B128" t="str">
            <v>Арматура</v>
          </cell>
        </row>
        <row r="129">
          <cell r="B129" t="str">
            <v>Монолитное ж\б балочное перекрытие (нагрузка 3 тн)</v>
          </cell>
        </row>
        <row r="130">
          <cell r="B130" t="str">
            <v>Бетон В 30</v>
          </cell>
        </row>
        <row r="131">
          <cell r="B131" t="str">
            <v>Монтаж и демонтаж опалубки</v>
          </cell>
        </row>
        <row r="132">
          <cell r="B132" t="str">
            <v>Арматура</v>
          </cell>
        </row>
        <row r="133">
          <cell r="B133" t="str">
            <v>Монолитное ж\б балочное перекрытие (нагрузка 3 тн)</v>
          </cell>
        </row>
        <row r="134">
          <cell r="B134" t="str">
            <v>Бетон В 30</v>
          </cell>
        </row>
        <row r="135">
          <cell r="B135" t="str">
            <v>Монтаж и демонтаж опалубки</v>
          </cell>
        </row>
        <row r="136">
          <cell r="B136" t="str">
            <v>Арматура</v>
          </cell>
        </row>
        <row r="137">
          <cell r="B137" t="str">
            <v>Монолитное ж\б балочное перекрытие (нагрузка 3 тн)</v>
          </cell>
        </row>
        <row r="138">
          <cell r="B138" t="str">
            <v>Бетон В 30</v>
          </cell>
        </row>
        <row r="139">
          <cell r="B139" t="str">
            <v>Монтаж и демонтаж опалубки</v>
          </cell>
        </row>
        <row r="140">
          <cell r="B140" t="str">
            <v>Арматура</v>
          </cell>
        </row>
        <row r="141">
          <cell r="B141" t="str">
            <v>Монолитное ж\б балочное перекрытие (нагрузка 3 тн)</v>
          </cell>
        </row>
        <row r="142">
          <cell r="B142" t="str">
            <v>Бетон В 30</v>
          </cell>
        </row>
        <row r="143">
          <cell r="B143" t="str">
            <v>Монтаж и демонтаж опалубки</v>
          </cell>
        </row>
        <row r="144">
          <cell r="B144" t="str">
            <v>Арматура</v>
          </cell>
        </row>
        <row r="145">
          <cell r="B145" t="str">
            <v>Монолитное ж\б балочное перекрытие (нагрузка 3 тн)</v>
          </cell>
        </row>
        <row r="146">
          <cell r="B146" t="str">
            <v>Бетон В 30</v>
          </cell>
        </row>
        <row r="147">
          <cell r="B147" t="str">
            <v>Монтаж и демонтаж опалубки</v>
          </cell>
        </row>
        <row r="148">
          <cell r="B148" t="str">
            <v>Арматура</v>
          </cell>
        </row>
        <row r="149">
          <cell r="B149" t="str">
            <v>Монолитное ж\б балочное перекрытие (нагрузка 3 тн)</v>
          </cell>
        </row>
        <row r="150">
          <cell r="B150" t="str">
            <v>Бетон В 30</v>
          </cell>
        </row>
        <row r="151">
          <cell r="B151" t="str">
            <v>Монтаж и демонтаж опалубки</v>
          </cell>
        </row>
        <row r="152">
          <cell r="B152" t="str">
            <v>Арматура</v>
          </cell>
        </row>
        <row r="153">
          <cell r="B153" t="str">
            <v>Монолитное ж\б балочное перекрытие (нагрузка 3 тн)</v>
          </cell>
        </row>
        <row r="154">
          <cell r="B154" t="str">
            <v>Бетон В 30</v>
          </cell>
        </row>
        <row r="155">
          <cell r="B155" t="str">
            <v>Монтаж и демонтаж опалубки</v>
          </cell>
        </row>
        <row r="156">
          <cell r="B156" t="str">
            <v>Арматура</v>
          </cell>
        </row>
        <row r="160">
          <cell r="B160" t="str">
            <v>Монолитное ж\б перекрытие толщ. 200мм над лестничными клетками</v>
          </cell>
        </row>
        <row r="162">
          <cell r="B162" t="str">
            <v>Бетон В 25</v>
          </cell>
        </row>
        <row r="163">
          <cell r="B163" t="str">
            <v>Монтаж и демонтаж опалубки</v>
          </cell>
        </row>
        <row r="164">
          <cell r="B164" t="str">
            <v>Арматура</v>
          </cell>
        </row>
        <row r="165">
          <cell r="B165" t="str">
            <v>Монолитное ж\б перекрытие над коридорами толщ. 120мм</v>
          </cell>
        </row>
        <row r="166">
          <cell r="B166" t="str">
            <v>Бетон В 25</v>
          </cell>
        </row>
        <row r="167">
          <cell r="B167" t="str">
            <v>Профнастил оцинкованный Н 75-750-0,8</v>
          </cell>
        </row>
        <row r="168">
          <cell r="B168" t="str">
            <v>Опалубка боковая</v>
          </cell>
        </row>
        <row r="169">
          <cell r="B169" t="str">
            <v>Монолитное ж\б перекрытие над коридорами толщ. 120мм</v>
          </cell>
        </row>
        <row r="170">
          <cell r="B170" t="str">
            <v>Бетон В 25</v>
          </cell>
        </row>
        <row r="171">
          <cell r="B171" t="str">
            <v>Профнастил оцинкованный Н 75-750-0,8</v>
          </cell>
        </row>
        <row r="172">
          <cell r="B172" t="str">
            <v>Опалубка боковая</v>
          </cell>
        </row>
        <row r="173">
          <cell r="B173" t="str">
            <v>Монолитное ж\б перекрытие над коридорами толщ. 120мм</v>
          </cell>
        </row>
        <row r="174">
          <cell r="B174" t="str">
            <v>Бетон В 25</v>
          </cell>
        </row>
        <row r="175">
          <cell r="B175" t="str">
            <v>Профнастил оцинкованный Н 75-750-0,8</v>
          </cell>
        </row>
        <row r="176">
          <cell r="B176" t="str">
            <v>Опалубка боковая</v>
          </cell>
        </row>
        <row r="177">
          <cell r="B177" t="str">
            <v>Монолитное ж\б перекрытие над коридорами толщ. 120мм</v>
          </cell>
        </row>
        <row r="178">
          <cell r="B178" t="str">
            <v>Бетон В 25</v>
          </cell>
        </row>
        <row r="179">
          <cell r="B179" t="str">
            <v>Профнастил оцинкованный Н 75-750-0,8</v>
          </cell>
        </row>
        <row r="180">
          <cell r="B180" t="str">
            <v>Опалубка боковая</v>
          </cell>
        </row>
        <row r="181">
          <cell r="B181" t="str">
            <v>Монолитное ж\б перекрытие над коридорами толщ. 120мм</v>
          </cell>
        </row>
        <row r="182">
          <cell r="B182" t="str">
            <v>Бетон В 25</v>
          </cell>
        </row>
        <row r="183">
          <cell r="B183" t="str">
            <v>Опалубка боковая</v>
          </cell>
        </row>
        <row r="184">
          <cell r="B184" t="str">
            <v>Монолитное ж\б перекрытие над коридорами толщ. 120мм</v>
          </cell>
        </row>
        <row r="185">
          <cell r="B185" t="str">
            <v>Бетон В 25</v>
          </cell>
        </row>
        <row r="186">
          <cell r="B186" t="str">
            <v>Опалубка боковая</v>
          </cell>
        </row>
        <row r="190">
          <cell r="B190" t="str">
            <v>Монолитное ж\б перекрытие над коридорами толщ. 120мм</v>
          </cell>
        </row>
        <row r="191">
          <cell r="B191" t="str">
            <v>Монолитное ж\б перекрытие над коридорами толщ. 120мм</v>
          </cell>
        </row>
        <row r="192">
          <cell r="B192" t="str">
            <v>Бетон В 25</v>
          </cell>
        </row>
        <row r="193">
          <cell r="B193" t="str">
            <v>Профнастил оцинкованный Н 75-750-0,8</v>
          </cell>
        </row>
        <row r="194">
          <cell r="B194" t="str">
            <v>Опалубка боковая</v>
          </cell>
        </row>
        <row r="195">
          <cell r="B195" t="str">
            <v>Монолитное ж\б перекрытие над коридорами толщ. 120мм</v>
          </cell>
        </row>
        <row r="196">
          <cell r="B196" t="str">
            <v>Бетон В 25</v>
          </cell>
        </row>
        <row r="197">
          <cell r="B197" t="str">
            <v>Профнастил оцинкованный Н 75-750-0,8</v>
          </cell>
        </row>
        <row r="198">
          <cell r="B198" t="str">
            <v>Опалубка боковая</v>
          </cell>
        </row>
        <row r="199">
          <cell r="B199" t="str">
            <v>Монолитное ж\б перекрытие над коридорами толщ. 120мм</v>
          </cell>
        </row>
        <row r="200">
          <cell r="B200" t="str">
            <v>Бетон В 25</v>
          </cell>
        </row>
        <row r="201">
          <cell r="B201" t="str">
            <v>Профнастил оцинкованный Н 75-750-0,8</v>
          </cell>
        </row>
        <row r="202">
          <cell r="B202" t="str">
            <v>Опалубка боковая</v>
          </cell>
        </row>
        <row r="205">
          <cell r="B205" t="str">
            <v>Монолитное ж\б перекрытие над коридорами толщ. 120мм</v>
          </cell>
        </row>
        <row r="206">
          <cell r="B206" t="str">
            <v>Бетон В 25</v>
          </cell>
        </row>
        <row r="207">
          <cell r="B207" t="str">
            <v>Профнастил оцинкованный Н 75-750-0,8</v>
          </cell>
        </row>
        <row r="208">
          <cell r="B208" t="str">
            <v>Опалубка боковая</v>
          </cell>
        </row>
        <row r="209">
          <cell r="B209" t="str">
            <v>Монолитное ж\б перекрытие над коридорами толщ. 120мм</v>
          </cell>
        </row>
        <row r="210">
          <cell r="B210" t="str">
            <v>Монолитное ж\б перекрытие над коридорами толщ. 120мм</v>
          </cell>
        </row>
        <row r="211">
          <cell r="B211" t="str">
            <v>Бетон В 25</v>
          </cell>
        </row>
        <row r="212">
          <cell r="B212" t="str">
            <v>Профнастил оцинкованный Н 75-750-0,8</v>
          </cell>
        </row>
        <row r="213">
          <cell r="B213" t="str">
            <v>Опалубка боковая</v>
          </cell>
        </row>
        <row r="214">
          <cell r="B214" t="str">
            <v>Монолитное ж\б перекрытие над коридорами толщ. 120мм</v>
          </cell>
        </row>
        <row r="215">
          <cell r="B215" t="str">
            <v>Бетон В 25</v>
          </cell>
        </row>
        <row r="216">
          <cell r="B216" t="str">
            <v>Профнастил оцинкованный Н 75-750-0,8</v>
          </cell>
        </row>
        <row r="217">
          <cell r="B217" t="str">
            <v>Опалубка боковая</v>
          </cell>
        </row>
        <row r="218">
          <cell r="B218" t="str">
            <v>Монолитное ж\б перекрытие над коридорами толщ. 120мм</v>
          </cell>
        </row>
        <row r="219">
          <cell r="B219" t="str">
            <v>Бетон В 25</v>
          </cell>
        </row>
        <row r="220">
          <cell r="B220" t="str">
            <v>Профнастил оцинкованный Н 75-750-0,8</v>
          </cell>
        </row>
        <row r="221">
          <cell r="B221" t="str">
            <v>Опалубка боковая</v>
          </cell>
        </row>
        <row r="222">
          <cell r="B222" t="str">
            <v>Монолитное ж\б перекрытие над коридорами толщ. 120мм</v>
          </cell>
        </row>
        <row r="223">
          <cell r="B223" t="str">
            <v>Бетон В 25</v>
          </cell>
        </row>
        <row r="224">
          <cell r="B224" t="str">
            <v>Профнастил оцинкованный Н 75-750-0,8</v>
          </cell>
        </row>
        <row r="225">
          <cell r="B225" t="str">
            <v>Опалубка боковая</v>
          </cell>
        </row>
        <row r="226">
          <cell r="B226" t="str">
            <v>Деформационный шов в перекрытии</v>
          </cell>
        </row>
        <row r="227">
          <cell r="B227" t="str">
            <v>Columns 1st floor</v>
          </cell>
        </row>
        <row r="228">
          <cell r="B228" t="str">
            <v>Монолитные ж\б колонны сеч. 600х600мм 
(2 nd floor)</v>
          </cell>
        </row>
        <row r="229">
          <cell r="B229" t="str">
            <v>Бетон В 35</v>
          </cell>
        </row>
        <row r="230">
          <cell r="B230" t="str">
            <v>Монтаж и демонтаж опалубки</v>
          </cell>
        </row>
        <row r="231">
          <cell r="B231" t="str">
            <v>Арматура</v>
          </cell>
        </row>
        <row r="232">
          <cell r="B232" t="str">
            <v>Арматура</v>
          </cell>
        </row>
        <row r="233">
          <cell r="B233" t="str">
            <v>Монолитные ж\б колонны сеч. 600х600мм 
(2 nd floor)</v>
          </cell>
        </row>
        <row r="234">
          <cell r="B234" t="str">
            <v>Бетон В 35</v>
          </cell>
        </row>
        <row r="235">
          <cell r="B235" t="str">
            <v>Монтаж и демонтаж опалубки</v>
          </cell>
        </row>
        <row r="236">
          <cell r="B236" t="str">
            <v>Арматура</v>
          </cell>
        </row>
        <row r="237">
          <cell r="B237" t="str">
            <v>Roof structure</v>
          </cell>
        </row>
        <row r="238">
          <cell r="B238" t="str">
            <v xml:space="preserve">Изготовление и монтаж металлических конструкций покрытия из углеродистой стали (грунт и краска российского производства) </v>
          </cell>
        </row>
        <row r="239">
          <cell r="B239" t="str">
            <v>Facade</v>
          </cell>
        </row>
        <row r="241">
          <cell r="B241" t="str">
            <v>Walls
(including internal façade of IKEA, façade signs)</v>
          </cell>
        </row>
        <row r="242">
          <cell r="B242" t="str">
            <v>Cтеновые сэндвич-панели, "Stroypanel" толщ. 120 mm, наружный слой оцинкованная сталь 0,6 мм окрашенная PVC NSC S 4550, внутренний слой оцинкованная сталь 0,5 мм окрашенная PE RR20, синий IKEA цвет</v>
          </cell>
        </row>
        <row r="243">
          <cell r="B243" t="str">
            <v>Cтеновые сэндвич-панели, "Stroypanel" толщ. 120 mm, наружный слой оцинкованная сталь 0,6 мм окрашенная PVC NSC S 4550, внутренний слой оцинкованная сталь 0,5 мм окрашенная PE RR20, синий IKEA цвет</v>
          </cell>
        </row>
        <row r="244">
          <cell r="B244" t="str">
            <v>Under covering of the eaves soffit from the painted galvanized sheets</v>
          </cell>
        </row>
        <row r="245">
          <cell r="B245" t="str">
            <v>Полистовая сборка наружных стен:
система Rannila Casetti - Fasetti, желтый IKEA цвет, NSC S1070</v>
          </cell>
        </row>
        <row r="246">
          <cell r="B246" t="str">
            <v>Внутренние стены из газобетонных блоков толщ. 200 мм</v>
          </cell>
        </row>
        <row r="247">
          <cell r="B247" t="str">
            <v xml:space="preserve">Пароизоляция - п/э плёнка 200 мкм </v>
          </cell>
        </row>
        <row r="248">
          <cell r="B248" t="str">
            <v>Теплоизоляция "Venty Batts"  120 мм</v>
          </cell>
        </row>
        <row r="249">
          <cell r="B249" t="str">
            <v>Крышная установка</v>
          </cell>
        </row>
        <row r="250">
          <cell r="B250" t="str">
            <v>Поставка и монтаж цокольных трёхслойных ж/бетонных панелей, h: 850 мм</v>
          </cell>
        </row>
        <row r="256">
          <cell r="B256" t="str">
            <v>Curtain walls / windows
(including fire rated glazing on the internal façade of IKEA)</v>
          </cell>
        </row>
        <row r="257">
          <cell r="B257" t="str">
            <v>Поставка и монтаж противопожарных внутренних витражей:  алюминиевый профиль, двухкамерный стеклопакет, EI60 inside</v>
          </cell>
        </row>
        <row r="258">
          <cell r="B258" t="str">
            <v>Поставка и монтаж витражей: алюминиевый профиль, двухкамерный стеклопакет</v>
          </cell>
        </row>
        <row r="259">
          <cell r="B259" t="str">
            <v>Оконный блок: Aлюминиевой профиль, двухкамерный  стеклопакет</v>
          </cell>
        </row>
        <row r="262">
          <cell r="B262" t="str">
            <v>Curtain walls above roof level</v>
          </cell>
        </row>
        <row r="263">
          <cell r="B263" t="str">
            <v>Поставка и монтаж фонарей, алюминиевый профиль, двухкамерный  стеклопакет</v>
          </cell>
        </row>
        <row r="264">
          <cell r="B264" t="str">
            <v>Walls around entrances incl. fire rated glass</v>
          </cell>
        </row>
        <row r="265">
          <cell r="B265" t="str">
            <v>Поставка и монтаж противопожарних витражей:  алюминиевый профиль, двухкамерный стеклопакет, EI60 (автостоянка)</v>
          </cell>
        </row>
        <row r="267">
          <cell r="B267" t="str">
            <v>Sliding doors / external doors</v>
          </cell>
        </row>
        <row r="268">
          <cell r="B268" t="str">
            <v>Upper Level</v>
          </cell>
        </row>
        <row r="270">
          <cell r="B270" t="str">
            <v>Дверь алюминиевая, двухстворчатая, остекленная двухкамерный стеклопакет, в комплекте с фурнитурой, с замком, с доводчиком, с анти-паник, разм. 1,8x 2,1 м - (лестница)</v>
          </cell>
        </row>
        <row r="271">
          <cell r="B271" t="str">
            <v>Дверь алюминиевая, двухстворчатая, остекленная двухкамерный стеклопакет, в комплекте с фурнитурой, с замком, с доводчиком, с анти-паник, разм. 1,8x 2,1 м - (лестница)</v>
          </cell>
        </row>
        <row r="272">
          <cell r="B272" t="str">
            <v>Дверь алюминиевая, двухстворчатая, остекленная двухкамерный стеклопакет, в комплекте с фурнитурой, с замком, с доводчиком, с анти-паник, разм. 1,8x 2,1 м - (лестница)</v>
          </cell>
        </row>
        <row r="273">
          <cell r="B273" t="str">
            <v>Дверь алюминиевая, двухстворчатая, остекленная двухкамерный стеклопакет, в комплекте с фурнитурой, с замком, с доводчиком, с анти-паник, разм. 1,8x 2,1 м - (лестница)</v>
          </cell>
        </row>
        <row r="276">
          <cell r="B276" t="str">
            <v>Дверь стальная, двухстворчатая, глухая, утепленная, в комплекте с фурнитурой, анти-паник, разм. 2,40 x  2,40м</v>
          </cell>
        </row>
        <row r="277">
          <cell r="B277" t="str">
            <v>Дверь стальная, двухстворчатая, глухая, утепленная, в комплекте с фурнитурой, анти-паник, разм. 1,80 x  3,20м</v>
          </cell>
        </row>
        <row r="279">
          <cell r="B279" t="str">
            <v>Дверь стальная, двухстворчатая, глухая, утепленная, в комплекте с фурнитурой, анти-паник, разм. 1,80 x  2,10м</v>
          </cell>
        </row>
        <row r="281">
          <cell r="B281" t="str">
            <v>Дверь стальная, двухстворчатая, глухая, утепленная, в комплекте с фурнитурой, анти-паник, разм. 1,80 x  2,10м</v>
          </cell>
        </row>
        <row r="282">
          <cell r="B282" t="str">
            <v>Дверь стальная, двухстворчатая, глухая, утепленная, в комплекте с фурнитурой, анти-паник, разм. 2,10 x  2,40м</v>
          </cell>
        </row>
        <row r="283">
          <cell r="B283" t="str">
            <v>Дверь стальная, двухстворчатая, глухая, утепленная, в комплекте с фурнитурой, анти-паник, разм. 3,10 x  2,40м</v>
          </cell>
        </row>
        <row r="284">
          <cell r="B284" t="str">
            <v>Дверь стальная, одностворчатая, глухая, утепленная, в комплекте с фурнитурой, анти-паник, разм. 1,10 x  2,40м</v>
          </cell>
        </row>
        <row r="285">
          <cell r="B285" t="str">
            <v>Canopies</v>
          </cell>
        </row>
        <row r="286">
          <cell r="B286" t="str">
            <v>Козырьки входов</v>
          </cell>
        </row>
        <row r="287">
          <cell r="B287" t="str">
            <v>Козырьки над рампами</v>
          </cell>
        </row>
        <row r="288">
          <cell r="B288" t="str">
            <v>Roof</v>
          </cell>
        </row>
        <row r="289">
          <cell r="B289" t="str">
            <v>Roof decking incl. insulation, membrane etc.
(including roof walkway)</v>
          </cell>
        </row>
        <row r="290">
          <cell r="B290" t="str">
            <v>Main Roof  over Corrugated Sheet</v>
          </cell>
        </row>
        <row r="291">
          <cell r="B291" t="str">
            <v>Профнастил неокрашенный Н 114-600(750)-0,9</v>
          </cell>
        </row>
        <row r="292">
          <cell r="B292" t="str">
            <v>Профнастил окрашенный Н 114-600(750)-0,9</v>
          </cell>
        </row>
        <row r="293">
          <cell r="B293" t="str">
            <v>Теплоизоляция Руф Баттс В - 40мм, Руф Баттс Н - 
толщ. 120 мм</v>
          </cell>
        </row>
        <row r="294">
          <cell r="B294" t="str">
            <v>Теплоизоляция Руф Баттс В - 40мм, Руф Баттс Н - 
толщ. 120 мм</v>
          </cell>
        </row>
        <row r="295">
          <cell r="B295" t="str">
            <v>Горизонтальная Гидроизоляция - "Logicproof"</v>
          </cell>
        </row>
        <row r="296">
          <cell r="B296" t="str">
            <v>Облицовка парапета и стен в местах перепада высот оцинкованной кровельной сталью</v>
          </cell>
        </row>
        <row r="297">
          <cell r="B297" t="str">
            <v>Теплоизоляция парапетов Руф Баттс В толщ. 80мм</v>
          </cell>
        </row>
        <row r="298">
          <cell r="B298" t="str">
            <v>Roof Walkway</v>
          </cell>
        </row>
        <row r="300">
          <cell r="B300" t="str">
            <v xml:space="preserve">Roof for Staircases </v>
          </cell>
        </row>
        <row r="301">
          <cell r="B301" t="str">
            <v>Керамзитобетон по уклону толщ. 40-160 мм</v>
          </cell>
        </row>
        <row r="302">
          <cell r="B302" t="str">
            <v xml:space="preserve">Пароизоляция - п/э плёнка 200 мкм </v>
          </cell>
        </row>
        <row r="303">
          <cell r="B303" t="str">
            <v>Теплоизоляция Руф Баттс В - 40мм, Руф Баттс Н - 
толщ. 120 мм</v>
          </cell>
        </row>
        <row r="304">
          <cell r="B304" t="str">
            <v>Горизонтальная Гидроизоляция - "Logicproof"</v>
          </cell>
        </row>
        <row r="305">
          <cell r="B305" t="str">
            <v>Облицовка парапета оцинкованной кровельной сталью</v>
          </cell>
        </row>
        <row r="306">
          <cell r="B306" t="str">
            <v>Теплоизоляция парапетов Руф Баттс В толщ. 40мм</v>
          </cell>
        </row>
        <row r="307">
          <cell r="B307" t="str">
            <v>Skylights</v>
          </cell>
        </row>
        <row r="309">
          <cell r="B309" t="str">
            <v>Поставка и монтаж фонарей, алюминиевый профиль, двухкамерный  стеклопакет, continuous skylight above the roof</v>
          </cell>
        </row>
        <row r="310">
          <cell r="B310" t="str">
            <v>Self-Bearing Continuous Rooflights 4mx92m (Non-Openable)</v>
          </cell>
        </row>
        <row r="311">
          <cell r="B311" t="str">
            <v>Self-Bearing Continuous Rooflights 4mx85m (Non-Openable)</v>
          </cell>
        </row>
        <row r="312">
          <cell r="B312" t="str">
            <v>Self-Bearing Continuous Rooflights 4mx170m (Non-Openable)</v>
          </cell>
        </row>
        <row r="313">
          <cell r="B313" t="str">
            <v>Self-Bearing Continuous Rooflights 4mx4m (Non-Openable)</v>
          </cell>
        </row>
        <row r="315">
          <cell r="B315" t="str">
            <v>Smoke hatches</v>
          </cell>
        </row>
        <row r="316">
          <cell r="B316" t="str">
            <v>Smoke exhaust vents, 1,2х2,4 m, dome-double skin, both layers-opal polycarbonate with PVC-aluminium frame
Electric motorfor smoke &amp; heat ventilation:
Hinges are at the short side,
Opening angle approx. 35
Free opening area is approx. 3,6 m2</v>
          </cell>
        </row>
        <row r="325">
          <cell r="B325" t="str">
            <v>Masonry works</v>
          </cell>
        </row>
        <row r="327">
          <cell r="B327" t="str">
            <v>Masonry works</v>
          </cell>
        </row>
        <row r="328">
          <cell r="B328" t="str">
            <v>Монолитные ж\б балки(под газобетонные стены) 300х700мм</v>
          </cell>
        </row>
        <row r="329">
          <cell r="B329" t="str">
            <v>Бетон В 25</v>
          </cell>
        </row>
        <row r="330">
          <cell r="B330" t="str">
            <v>Монтаж и демонтаж опалубки</v>
          </cell>
        </row>
        <row r="331">
          <cell r="B331" t="str">
            <v>Арматура</v>
          </cell>
        </row>
        <row r="332">
          <cell r="B332" t="str">
            <v>Внутренние стены из кирпичных (fairface brick wall)  блоков толщ. 250 мм (500 мм выше отметки кровли) h:11,00 м</v>
          </cell>
        </row>
        <row r="333">
          <cell r="B333" t="str">
            <v xml:space="preserve">Внутренние стены из кирпичных (fairface brick wall)  блоков толщ. 120 мм </v>
          </cell>
        </row>
        <row r="336">
          <cell r="B336" t="str">
            <v>Внутренние стены из газобетонных блоков толщ. 200 мм</v>
          </cell>
        </row>
        <row r="337">
          <cell r="B337" t="str">
            <v>Внутренние стены из газобетонных блоков толщ. 100 мм</v>
          </cell>
        </row>
        <row r="341">
          <cell r="B341" t="str">
            <v>Внутренние стены из газобетонных блоков толщ. 200 мм</v>
          </cell>
        </row>
        <row r="342">
          <cell r="B342" t="str">
            <v>Внутренние стены из газобетонных блоков толщ. 100 мм</v>
          </cell>
        </row>
        <row r="343">
          <cell r="B343" t="str">
            <v>Interior Guypsumboard partitions</v>
          </cell>
        </row>
        <row r="344">
          <cell r="B344" t="str">
            <v>Гипсокартонные перегородки по металлокаркасу с заполнением  толщиной 50 мм (2 слоя гипсокартона с каждой стороны)</v>
          </cell>
        </row>
        <row r="345">
          <cell r="B345" t="str">
            <v>Гипсокартонные перегородки по металлокаркасу с заполнением  толщиной 50 мм (2 слоя гипсокартона с каждой стороны)</v>
          </cell>
        </row>
        <row r="346">
          <cell r="B346" t="str">
            <v>Ice Rink</v>
          </cell>
        </row>
        <row r="347">
          <cell r="B347" t="str">
            <v>Ice Rink</v>
          </cell>
        </row>
        <row r="348">
          <cell r="B348" t="str">
            <v>Устройство плиты охлаждения в зоне катка, включает: теплоизоляцию, слои гидроизоляции, слой бетона с арматурой для крепления труб</v>
          </cell>
        </row>
        <row r="349">
          <cell r="B349" t="str">
            <v xml:space="preserve">Ограждение АЙС РИНКА: стойки и поручень - нержавеющая сталь, остеклённые </v>
          </cell>
        </row>
        <row r="350">
          <cell r="B350" t="str">
            <v>Облицовка стен мозаичной плиткой, (в входе главного санузлах)</v>
          </cell>
        </row>
        <row r="351">
          <cell r="B351" t="str">
            <v>Benches</v>
          </cell>
        </row>
        <row r="352">
          <cell r="B352" t="str">
            <v>Ice Rink Equipment</v>
          </cell>
        </row>
        <row r="353">
          <cell r="B353" t="str">
            <v>SUPPLEMENTARY BUILDING WORKS</v>
          </cell>
        </row>
        <row r="354">
          <cell r="B354" t="str">
            <v>Metal works
(including façade supporting steel structure, interior steel doors, steel stair balustrades, internal fire rated gates)</v>
          </cell>
        </row>
        <row r="355">
          <cell r="B355" t="str">
            <v>Supplementary Steel Works</v>
          </cell>
        </row>
        <row r="357">
          <cell r="B357" t="str">
            <v xml:space="preserve">Изготовление и монтаж металлических конструкций покрытия из низколегированной стали (грунт и краска российского производства) </v>
          </cell>
        </row>
        <row r="379">
          <cell r="B379" t="str">
            <v>Balustrades</v>
          </cell>
        </row>
        <row r="380">
          <cell r="B380" t="str">
            <v>Ограждение лестницы из нержавеющей стали</v>
          </cell>
        </row>
        <row r="381">
          <cell r="B381" t="str">
            <v>Перила лестницы из нержавеющей стали</v>
          </cell>
        </row>
        <row r="382">
          <cell r="B382" t="str">
            <v>Ограждение крыльца  из окрашенной трубы</v>
          </cell>
        </row>
        <row r="383">
          <cell r="B383" t="str">
            <v xml:space="preserve">Ограждение главной лестницы из нержавеющей стали , остекленные </v>
          </cell>
        </row>
        <row r="384">
          <cell r="B384" t="str">
            <v>Ограждение лестницы  из окрашенной трубы</v>
          </cell>
        </row>
        <row r="385">
          <cell r="B385" t="str">
            <v>Перила лестницы  из окрашенной трубы</v>
          </cell>
        </row>
        <row r="386">
          <cell r="B386" t="str">
            <v xml:space="preserve">Ограждение атриума: стойки и поручень - нержавеющая сталь, остекленные </v>
          </cell>
        </row>
        <row r="387">
          <cell r="B387" t="str">
            <v>Fire Rated Gates</v>
          </cell>
        </row>
        <row r="388">
          <cell r="B388" t="str">
            <v>Внутренние сдвижные, противопожарные ворота (Forklift Charging Room) 3000x3500 mm</v>
          </cell>
        </row>
        <row r="389">
          <cell r="B389" t="str">
            <v>Fire Shutter сдвижные, 3000x3500 mm</v>
          </cell>
        </row>
        <row r="394">
          <cell r="B394" t="str">
            <v>Внутренние сдвижные, противопожарные ворота (Forklift Charging Room) 3000x3500 mm</v>
          </cell>
        </row>
        <row r="402">
          <cell r="B402" t="str">
            <v>Carpentry
(including wooden doors and WC cubicles)</v>
          </cell>
        </row>
        <row r="403">
          <cell r="B403" t="str">
            <v>"LTT" перегородки в санузлах</v>
          </cell>
        </row>
        <row r="404">
          <cell r="B404" t="str">
            <v>Flooring</v>
          </cell>
        </row>
        <row r="405">
          <cell r="B405" t="str">
            <v>Стяжка из цементно-песчаного раствора толщ. 50мм</v>
          </cell>
        </row>
        <row r="406">
          <cell r="B406" t="str">
            <v>Watertight acrylic concrete type "Acrydur", ( кухня)</v>
          </cell>
        </row>
        <row r="408">
          <cell r="B408" t="str">
            <v>Самовыравнивающийся слой</v>
          </cell>
        </row>
        <row r="409">
          <cell r="B409" t="str">
            <v>Облицовка пола ПВХ плиткой "Tarkett special 788 light grey", в офисе</v>
          </cell>
        </row>
        <row r="410">
          <cell r="B410" t="str">
            <v>Облицовка пола PVC anti-static grounding bar,
(серверная комната)</v>
          </cell>
        </row>
        <row r="411">
          <cell r="B411" t="str">
            <v>Облицовка пола плиткой "Terrazzo", 40х40 см, "Field Colour" (including mortar)</v>
          </cell>
        </row>
        <row r="412">
          <cell r="B412" t="str">
            <v>Облицовка пола керамической плиткой "Marazzi 200x200 mm"</v>
          </cell>
        </row>
        <row r="413">
          <cell r="B413" t="str">
            <v>Облицовка пола керамической плиткой "Marazzi 200x200 mm"</v>
          </cell>
        </row>
        <row r="414">
          <cell r="B414" t="str">
            <v>Гидроизоляция из 2х слоев гидроизола в мокрых помещениях, в санузлах</v>
          </cell>
        </row>
        <row r="415">
          <cell r="B415" t="str">
            <v>Облицовка пола эпоксидной краской, в технических помешениях и коридоре</v>
          </cell>
        </row>
        <row r="416">
          <cell r="B416" t="str">
            <v>Облицовка пола "Recessed and drained steel grid"</v>
          </cell>
        </row>
        <row r="417">
          <cell r="B417" t="str">
            <v>Облицовка пола "Recessed and drained steel grid"</v>
          </cell>
        </row>
        <row r="425">
          <cell r="B425" t="str">
            <v>Алюминиевый профиль для стыков полов</v>
          </cell>
        </row>
        <row r="426">
          <cell r="B426" t="str">
            <v xml:space="preserve">Шлифовка и упрочнение верхнего слоя Mastertop  (5 кг/м2), покрытие Mastercure </v>
          </cell>
        </row>
        <row r="427">
          <cell r="B427" t="str">
            <v>Стяжка из цементно-песчаного раствора толщ. 50мм</v>
          </cell>
        </row>
        <row r="429">
          <cell r="B429" t="str">
            <v>Самовыравнивающийся слой</v>
          </cell>
        </row>
        <row r="430">
          <cell r="B430" t="str">
            <v>Wall coverings incl. laminated panels
(including office glazzed partitions)</v>
          </cell>
        </row>
        <row r="431">
          <cell r="B431" t="str">
            <v>"Fabric Awning" in IKEA grey</v>
          </cell>
        </row>
        <row r="432">
          <cell r="B432" t="str">
            <v>Модульная система перегородок, в офисе, h: 1,8 м</v>
          </cell>
        </row>
        <row r="433">
          <cell r="B433" t="str">
            <v>Модульная система перегородок, в ресторане, h: 1,0 м</v>
          </cell>
        </row>
        <row r="434">
          <cell r="B434" t="str">
            <v>Модульная система перегородок, (tempered laminated safety glass) в playroom for the children, h: 1,8 м</v>
          </cell>
        </row>
        <row r="435">
          <cell r="B435" t="str">
            <v>Модульная система перегородок, (bullet proof glazing) в cashiers office, h: 1,0 м</v>
          </cell>
        </row>
        <row r="436">
          <cell r="B436" t="str">
            <v>Обшивка металлом по металлокаркасу над "laminate panels"</v>
          </cell>
        </row>
        <row r="437">
          <cell r="B437" t="str">
            <v>Поручень на стенах коридора из нержавеющей стали</v>
          </cell>
        </row>
        <row r="438">
          <cell r="B438" t="str">
            <v xml:space="preserve">Теплоизоляция "Фасад Баттс" толщ. 110 мм </v>
          </cell>
        </row>
        <row r="439">
          <cell r="B439" t="str">
            <v>Штукатурка</v>
          </cell>
        </row>
        <row r="440">
          <cell r="B440" t="str">
            <v>Облицовка стен керамической плиткой "Marazzi 150x150 mm",на кухне, h:2,5 m</v>
          </cell>
        </row>
        <row r="441">
          <cell r="B441" t="str">
            <v>Облицовка стен керамической плиткой "Marazzi 100x100 mm",в туалетах, h:2,1m</v>
          </cell>
        </row>
        <row r="442">
          <cell r="B442" t="str">
            <v>Облицовка колонн гранитом, длинной 0,30 м</v>
          </cell>
        </row>
        <row r="443">
          <cell r="B443" t="str">
            <v>Облицовка стен мозаичной плиткой, (в входе главного санузлах)</v>
          </cell>
        </row>
        <row r="444">
          <cell r="B444" t="str">
            <v>Wintergarden header, prefaricated laminate panels</v>
          </cell>
        </row>
        <row r="445">
          <cell r="B445" t="str">
            <v>Gypsum boards above shopfronts</v>
          </cell>
        </row>
        <row r="446">
          <cell r="B446" t="str">
            <v>Neutral header, prefaricated laminate panels</v>
          </cell>
        </row>
        <row r="447">
          <cell r="B447" t="str">
            <v>Stainless steel corner profile, 1,5 m height, (кухня)</v>
          </cell>
        </row>
        <row r="448">
          <cell r="B448" t="str">
            <v>Kitchen bumper production, 200 mm up from floor, (кухня)</v>
          </cell>
        </row>
        <row r="450">
          <cell r="B450" t="str">
            <v>Оконный блок: Aлюминиевый профиль, однокамерный  стеклопакет (офис), автостоянка</v>
          </cell>
        </row>
        <row r="452">
          <cell r="B452" t="str">
            <v>Штукатурка</v>
          </cell>
        </row>
        <row r="453">
          <cell r="B453" t="str">
            <v>Облицовка стен керамической плиткой "Marazzi 100x100 mm",в туалетах, h:2,1m</v>
          </cell>
        </row>
        <row r="454">
          <cell r="B454" t="str">
            <v>Ceilings
(including insulation, plaster and painting of the carpark ceiling)</v>
          </cell>
        </row>
        <row r="455">
          <cell r="B455" t="str">
            <v>Теплоизоляция "Plaster butts" толщ. 120</v>
          </cell>
        </row>
        <row r="456">
          <cell r="B456" t="str">
            <v>Подвесные потолки "Ecophone Akutex T", 60x120 mm, white acoustic panels, подвесная система Т24 Албес</v>
          </cell>
        </row>
        <row r="457">
          <cell r="B457" t="str">
            <v>Подвесные потолки "Ecophone Hygenic", 60x60 mm, white acoustic panels, подвесная система Т24 Албес</v>
          </cell>
        </row>
        <row r="461">
          <cell r="B461" t="str">
            <v>Подвесной гипсокартонный потолок</v>
          </cell>
        </row>
        <row r="462">
          <cell r="B462" t="str">
            <v>Подготовка гипсокартонных  поверхностей под окраску</v>
          </cell>
        </row>
        <row r="463">
          <cell r="B463" t="str">
            <v>Затирка ж/бетонных потолков цементно-песчаным раствором</v>
          </cell>
        </row>
        <row r="464">
          <cell r="B464" t="str">
            <v>Покраска латекской краской за 2 раза</v>
          </cell>
        </row>
        <row r="465">
          <cell r="B465" t="str">
            <v>Подвесной потолок "2х2 м open ceiling grid (3м AFF)" (вход)</v>
          </cell>
        </row>
        <row r="467">
          <cell r="B467" t="str">
            <v>Подвесные потолки "Metal panel ceiling at vestibule"</v>
          </cell>
        </row>
        <row r="469">
          <cell r="B469" t="str">
            <v>Подвесной  потолок Armstrong</v>
          </cell>
        </row>
        <row r="470">
          <cell r="B470" t="str">
            <v>Painting</v>
          </cell>
        </row>
        <row r="471">
          <cell r="B471" t="str">
            <v>Подготовка газобетонных поверхностей под окраску</v>
          </cell>
        </row>
        <row r="472">
          <cell r="B472" t="str">
            <v>Подготовка оштукатуренных поверхностей под окраску</v>
          </cell>
        </row>
        <row r="473">
          <cell r="B473" t="str">
            <v>Поклейка стеклообоев в офисе</v>
          </cell>
        </row>
        <row r="474">
          <cell r="B474" t="str">
            <v>Затирка ж/бетонных стен цементно-песчаным раствором</v>
          </cell>
        </row>
        <row r="475">
          <cell r="B475" t="str">
            <v>Подготовка гипсокартонных поверхностей под окраску</v>
          </cell>
        </row>
        <row r="476">
          <cell r="B476" t="str">
            <v>Покраска стен латекской краской за 2 раза</v>
          </cell>
        </row>
        <row r="478">
          <cell r="B478" t="str">
            <v>Подготовка оштукатуренных поверхностей под окраску</v>
          </cell>
        </row>
        <row r="479">
          <cell r="B479" t="str">
            <v>Затирка ж/бетонных стен цементно-песчаным раствором</v>
          </cell>
        </row>
        <row r="480">
          <cell r="B480" t="str">
            <v>Подготовка гипсокартонных поверхностей под окраску</v>
          </cell>
        </row>
        <row r="481">
          <cell r="B481" t="str">
            <v>Покраска стен латекской краской за 2 раза</v>
          </cell>
        </row>
        <row r="482">
          <cell r="B482" t="str">
            <v>Misc. equipment</v>
          </cell>
        </row>
        <row r="483">
          <cell r="B483" t="str">
            <v>Garbage Compaction Machine- P215-3/30 m3, Presso</v>
          </cell>
        </row>
        <row r="484">
          <cell r="B484" t="str">
            <v>Garbage Bio Compactors, P24, Presso</v>
          </cell>
        </row>
        <row r="485">
          <cell r="B485" t="str">
            <v>Bailing Presses</v>
          </cell>
        </row>
        <row r="486">
          <cell r="B486" t="str">
            <v>Dock levellers / loading doors</v>
          </cell>
        </row>
        <row r="487">
          <cell r="B487" t="str">
            <v>Гидравлический доклевеллер с поворотным козырьком HS 2021  производства «STERTIL» (Голландия), цвет - RAL 5020. 
Технические и эксплуатационные параметры: 
- поворотный козырек - 350 мм;
- грузоподъемность - 10 000 кг;
- длина – 3000 мм;
- ширина - 2250 м</v>
          </cell>
        </row>
        <row r="488">
          <cell r="B488" t="str">
            <v xml:space="preserve">Докшелтер занавесочный с гибким каркасом WE574 «STERTIL» (Голландия). Исполнение: рама выполнена из оцинкованных стальных профилей. Занавеси из пружинящего полиэстра, RAL9011. </v>
          </cell>
        </row>
        <row r="489">
          <cell r="B489" t="str">
            <v>Резиновые упорные бамперы R45-25-10 (компл.)</v>
          </cell>
        </row>
        <row r="490">
          <cell r="B490" t="str">
            <v>Секционные ворота SPU40 3000х4500 мм, высота секций 750 мм, утепленные –  42 мм, направляющие для высокого подъема – тип Н, цвет снаружи RAL 9002, изнутри RAL 9002. Электропривод фланцевый WA400/A445 с цепью для аварийного ручного подъема</v>
          </cell>
        </row>
        <row r="491">
          <cell r="B491" t="str">
            <v>Furniture &amp; Decorative Elements</v>
          </cell>
        </row>
        <row r="492">
          <cell r="B492" t="str">
            <v>Pots for trees, diameter 600 mm, stainless steel</v>
          </cell>
        </row>
        <row r="493">
          <cell r="B493" t="str">
            <v>Pots for plants ,diameter 400 mm, stainless steel</v>
          </cell>
        </row>
        <row r="494">
          <cell r="B494" t="str">
            <v>Trees ,Ficus Benjamina height aprox. 3 meter</v>
          </cell>
        </row>
        <row r="495">
          <cell r="B495" t="str">
            <v>Plants</v>
          </cell>
        </row>
        <row r="496">
          <cell r="B496" t="str">
            <v>Benches, wood 3 meter long</v>
          </cell>
        </row>
        <row r="497">
          <cell r="B497" t="str">
            <v>Armchairs, wood, size 0,7x0,7 meter</v>
          </cell>
        </row>
        <row r="498">
          <cell r="B498" t="str">
            <v>Tables food court, stainless steel area 1 sqm.</v>
          </cell>
        </row>
        <row r="499">
          <cell r="B499" t="str">
            <v xml:space="preserve">Umbrellas </v>
          </cell>
        </row>
        <row r="500">
          <cell r="B500" t="str">
            <v>Chairs food court, stainless steel</v>
          </cell>
        </row>
        <row r="501">
          <cell r="B501" t="str">
            <v xml:space="preserve">Retail Kiosks </v>
          </cell>
        </row>
        <row r="502">
          <cell r="B502" t="str">
            <v>Transport trolleys with child seat  and lockers stop construction mounted to the floor (20 trolley , 6 stop)</v>
          </cell>
        </row>
        <row r="503">
          <cell r="B503" t="str">
            <v>Trashcans, stainless steel diametr 400 mm.</v>
          </cell>
        </row>
        <row r="504">
          <cell r="B504" t="str">
            <v>Traschans food court, stainless steel 0,5x0,5 mx height 1,3 meters</v>
          </cell>
        </row>
        <row r="505">
          <cell r="B505" t="str">
            <v>Temporary Bollards</v>
          </cell>
        </row>
        <row r="506">
          <cell r="B506" t="str">
            <v>Signs internal including construction for wall and ceiling mounting</v>
          </cell>
        </row>
        <row r="507">
          <cell r="B507" t="str">
            <v>Mall Directories mounted to the floor</v>
          </cell>
        </row>
        <row r="508">
          <cell r="B508" t="str">
            <v>Containers on wheel with lid from Company Presor type 1831 or similar</v>
          </cell>
        </row>
        <row r="509">
          <cell r="B509" t="str">
            <v>Parking lot designaters with 3 sides  mounted to rh lightning pole</v>
          </cell>
        </row>
        <row r="512">
          <cell r="B512" t="str">
            <v>Temporary trafffic barriers</v>
          </cell>
        </row>
        <row r="513">
          <cell r="B513" t="str">
            <v>Temporary trafffic barriers</v>
          </cell>
        </row>
        <row r="514">
          <cell r="B514" t="str">
            <v>Temporary trafffic barriers</v>
          </cell>
        </row>
        <row r="515">
          <cell r="B515" t="str">
            <v>Movable speed bumps</v>
          </cell>
        </row>
        <row r="516">
          <cell r="B516" t="str">
            <v>Ashcans</v>
          </cell>
        </row>
        <row r="517">
          <cell r="B517" t="str">
            <v xml:space="preserve">Coloured soft floor for children </v>
          </cell>
        </row>
        <row r="518">
          <cell r="B518" t="str">
            <v>Toy for children area</v>
          </cell>
        </row>
        <row r="519">
          <cell r="B519" t="str">
            <v xml:space="preserve">Cleaning machine from Company Alto </v>
          </cell>
        </row>
        <row r="520">
          <cell r="B520" t="str">
            <v xml:space="preserve">Staff wardrobes lockers and benches from company Promet </v>
          </cell>
        </row>
        <row r="521">
          <cell r="B521" t="str">
            <v>Staff wardrobes benches</v>
          </cell>
        </row>
        <row r="522">
          <cell r="B522" t="str">
            <v xml:space="preserve">Furnishing for Coat Check rooms for company </v>
          </cell>
        </row>
        <row r="533">
          <cell r="B533" t="str">
            <v>Carpentry
(including wooden doors and WC cubicles)</v>
          </cell>
        </row>
        <row r="535">
          <cell r="B535" t="str">
            <v>HVAC-SYSTEM</v>
          </cell>
        </row>
        <row r="536">
          <cell r="B536" t="str">
            <v>Heating</v>
          </cell>
        </row>
        <row r="537">
          <cell r="B537" t="str">
            <v>Heating</v>
          </cell>
        </row>
        <row r="538">
          <cell r="B538" t="str">
            <v>Ventilation+ Air-conditioning</v>
          </cell>
        </row>
        <row r="539">
          <cell r="B539" t="str">
            <v>Ventilation+ Air-conditioning</v>
          </cell>
        </row>
        <row r="540">
          <cell r="B540" t="str">
            <v>SANITARY</v>
          </cell>
        </row>
        <row r="541">
          <cell r="B541" t="str">
            <v>Domestic sanitary
(including roof drainage)</v>
          </cell>
        </row>
        <row r="542">
          <cell r="B542" t="str">
            <v>Domestic sanitary ( ROOF DRAIN INCLUDED )</v>
          </cell>
        </row>
        <row r="543">
          <cell r="B543" t="str">
            <v>FIRE PROTECTION</v>
          </cell>
        </row>
        <row r="544">
          <cell r="B544" t="str">
            <v>Sprinkler</v>
          </cell>
        </row>
        <row r="545">
          <cell r="B545" t="str">
            <v>Sprinkler</v>
          </cell>
        </row>
        <row r="546">
          <cell r="B546" t="str">
            <v>Hydrants</v>
          </cell>
        </row>
        <row r="547">
          <cell r="B547" t="str">
            <v>Hydrants</v>
          </cell>
        </row>
        <row r="548">
          <cell r="B548" t="str">
            <v>Fire alarm system</v>
          </cell>
        </row>
        <row r="549">
          <cell r="B549" t="str">
            <v>Fire alarm system</v>
          </cell>
        </row>
        <row r="550">
          <cell r="B550" t="str">
            <v>Smoke exhaust system</v>
          </cell>
        </row>
        <row r="551">
          <cell r="B551" t="str">
            <v>Smoke exhaust system</v>
          </cell>
        </row>
        <row r="552">
          <cell r="B552" t="str">
            <v>Sprinkler works for underneath parking area including garage fire alarm</v>
          </cell>
        </row>
        <row r="553">
          <cell r="B553" t="str">
            <v>Sprinkler works for underneath parking area including garage fire alarm</v>
          </cell>
        </row>
        <row r="554">
          <cell r="B554" t="str">
            <v>Second layer sprinkler including fire alarm</v>
          </cell>
        </row>
        <row r="555">
          <cell r="B555" t="str">
            <v>Second layer sprinkler including fire alarm</v>
          </cell>
        </row>
        <row r="556">
          <cell r="B556" t="str">
            <v>ELECTRICAL</v>
          </cell>
        </row>
        <row r="558">
          <cell r="B558" t="str">
            <v>High voltage</v>
          </cell>
        </row>
        <row r="559">
          <cell r="B559" t="str">
            <v>High voltage</v>
          </cell>
        </row>
        <row r="560">
          <cell r="B560" t="str">
            <v>Distribution</v>
          </cell>
        </row>
        <row r="561">
          <cell r="B561" t="str">
            <v>Distribution</v>
          </cell>
        </row>
        <row r="562">
          <cell r="B562" t="str">
            <v>Cabling</v>
          </cell>
        </row>
        <row r="563">
          <cell r="B563" t="str">
            <v>Cabling</v>
          </cell>
        </row>
        <row r="564">
          <cell r="B564" t="str">
            <v>High voltage connections</v>
          </cell>
        </row>
        <row r="565">
          <cell r="B565" t="str">
            <v>High voltage connections</v>
          </cell>
        </row>
        <row r="566">
          <cell r="B566" t="str">
            <v>Lighting building</v>
          </cell>
        </row>
        <row r="567">
          <cell r="B567" t="str">
            <v>Lighting building</v>
          </cell>
        </row>
        <row r="568">
          <cell r="B568" t="str">
            <v>Low voltage systems</v>
          </cell>
        </row>
        <row r="569">
          <cell r="B569" t="str">
            <v>Low voltage systems</v>
          </cell>
        </row>
        <row r="570">
          <cell r="B570" t="str">
            <v>Lightning protection</v>
          </cell>
        </row>
        <row r="571">
          <cell r="B571" t="str">
            <v>Lightning protection</v>
          </cell>
        </row>
        <row r="572">
          <cell r="B572" t="str">
            <v>Signage</v>
          </cell>
        </row>
        <row r="573">
          <cell r="B573" t="str">
            <v>Signage</v>
          </cell>
        </row>
        <row r="574">
          <cell r="B574" t="str">
            <v>Car and person counting system</v>
          </cell>
        </row>
        <row r="575">
          <cell r="B575" t="str">
            <v>Car and person counting system</v>
          </cell>
        </row>
        <row r="576">
          <cell r="B576" t="str">
            <v>TRANSPORT SYSTEMS</v>
          </cell>
        </row>
        <row r="577">
          <cell r="B577" t="str">
            <v>Elevators</v>
          </cell>
        </row>
        <row r="578">
          <cell r="B578" t="str">
            <v>Elevators</v>
          </cell>
        </row>
        <row r="585">
          <cell r="B585" t="str">
            <v>Escalators</v>
          </cell>
        </row>
        <row r="588">
          <cell r="B588" t="str">
            <v>Travelators</v>
          </cell>
        </row>
        <row r="589">
          <cell r="B589" t="str">
            <v>Travelators</v>
          </cell>
        </row>
        <row r="592">
          <cell r="B592" t="str">
            <v>Travelators</v>
          </cell>
        </row>
        <row r="593">
          <cell r="B593" t="str">
            <v>Travelators</v>
          </cell>
        </row>
        <row r="594">
          <cell r="B594" t="str">
            <v>Travelators</v>
          </cell>
        </row>
        <row r="595">
          <cell r="B595" t="str">
            <v>Travelators</v>
          </cell>
        </row>
        <row r="596">
          <cell r="B596" t="str">
            <v>EXTERIOR WORKS (incl. parking underneath building)</v>
          </cell>
        </row>
        <row r="597">
          <cell r="B597" t="str">
            <v>Ground works</v>
          </cell>
        </row>
        <row r="598">
          <cell r="B598" t="str">
            <v>Земляные работы</v>
          </cell>
        </row>
        <row r="603">
          <cell r="B603" t="str">
            <v>Water supply</v>
          </cell>
        </row>
        <row r="604">
          <cell r="B604" t="str">
            <v>Asphalt/Paving/Curbs/Painting</v>
          </cell>
        </row>
        <row r="610">
          <cell r="B610" t="str">
            <v>Asphalt/Paving/Curbs/Painting</v>
          </cell>
        </row>
        <row r="615">
          <cell r="B615" t="str">
            <v>Asphalt/Paving/Curbs/Painting</v>
          </cell>
        </row>
        <row r="620">
          <cell r="B620" t="str">
            <v>Underground Drainage WITH PERFORATED PIPES</v>
          </cell>
        </row>
        <row r="625">
          <cell r="B625" t="str">
            <v>Underground Drainage WITH PERFORATED PIPES</v>
          </cell>
        </row>
        <row r="629">
          <cell r="B629" t="str">
            <v>Asphalt/Paving/Curbs/Painting</v>
          </cell>
        </row>
        <row r="634">
          <cell r="B634" t="str">
            <v>Asphalt/Paving/Curbs/Painting</v>
          </cell>
        </row>
        <row r="648">
          <cell r="B648" t="str">
            <v>Asphalt/Paving/Curbs/Painting</v>
          </cell>
        </row>
        <row r="657">
          <cell r="B657" t="str">
            <v>Electrical cabling, lighting</v>
          </cell>
        </row>
        <row r="658">
          <cell r="B658" t="str">
            <v>Electrical cabling, lighting</v>
          </cell>
        </row>
        <row r="659">
          <cell r="B659" t="str">
            <v>Electrical cabling, lighting</v>
          </cell>
        </row>
        <row r="660">
          <cell r="B660" t="str">
            <v>Electrical cabling, lighting</v>
          </cell>
        </row>
        <row r="661">
          <cell r="B661" t="str">
            <v>Electrical cabling, lighting</v>
          </cell>
        </row>
        <row r="662">
          <cell r="B662" t="str">
            <v>Electrical cabling, lighting</v>
          </cell>
        </row>
        <row r="663">
          <cell r="B663" t="str">
            <v>Electrical cabling, lighting</v>
          </cell>
        </row>
        <row r="664">
          <cell r="B664" t="str">
            <v>Electrical cabling, lighting</v>
          </cell>
        </row>
        <row r="665">
          <cell r="B665" t="str">
            <v>Electrical cabling, lighting</v>
          </cell>
        </row>
        <row r="666">
          <cell r="B666" t="str">
            <v>Electrical cabling, lighting</v>
          </cell>
        </row>
        <row r="667">
          <cell r="B667" t="str">
            <v>Gas</v>
          </cell>
        </row>
        <row r="668">
          <cell r="B668" t="str">
            <v>Gas</v>
          </cell>
        </row>
        <row r="669">
          <cell r="B669" t="str">
            <v>Gas</v>
          </cell>
        </row>
        <row r="670">
          <cell r="B670" t="str">
            <v>Gas</v>
          </cell>
        </row>
        <row r="672">
          <cell r="B672" t="str">
            <v>Gas</v>
          </cell>
        </row>
        <row r="674">
          <cell r="B674" t="str">
            <v>Gas</v>
          </cell>
        </row>
        <row r="675">
          <cell r="B675" t="str">
            <v>Gas</v>
          </cell>
        </row>
        <row r="676">
          <cell r="B676" t="str">
            <v>Gas</v>
          </cell>
        </row>
        <row r="678">
          <cell r="B678" t="str">
            <v>Gas</v>
          </cell>
        </row>
        <row r="679">
          <cell r="B679" t="str">
            <v>Gas</v>
          </cell>
        </row>
        <row r="680">
          <cell r="B680" t="str">
            <v>Gas</v>
          </cell>
        </row>
        <row r="681">
          <cell r="B681" t="str">
            <v>Gas</v>
          </cell>
        </row>
        <row r="682">
          <cell r="B682" t="str">
            <v>Gas</v>
          </cell>
        </row>
        <row r="683">
          <cell r="B683" t="str">
            <v>Telephone</v>
          </cell>
        </row>
        <row r="684">
          <cell r="B684" t="str">
            <v>Telephone</v>
          </cell>
        </row>
        <row r="685">
          <cell r="B685" t="str">
            <v>Sewage/Drainage</v>
          </cell>
        </row>
        <row r="686">
          <cell r="B686" t="str">
            <v>Asphalt/Paving/Curbs/Painting</v>
          </cell>
        </row>
        <row r="693">
          <cell r="B693" t="str">
            <v>Asphalt/Paving/Curbs/Painting</v>
          </cell>
        </row>
        <row r="743">
          <cell r="B743" t="str">
            <v>Asphalt/Paving/Curbs/Painting</v>
          </cell>
        </row>
        <row r="754">
          <cell r="B754" t="str">
            <v>Asphalt/Paving/Curbs/Painting</v>
          </cell>
        </row>
        <row r="760">
          <cell r="B760" t="str">
            <v>Asphalt/Paving/Curbs/Painting</v>
          </cell>
        </row>
        <row r="762">
          <cell r="B762" t="str">
            <v>Дороги и грузовая парковка</v>
          </cell>
        </row>
        <row r="763">
          <cell r="B763" t="str">
            <v>Асфальтовое покрытие толщ. 120мм  (40+80мм)</v>
          </cell>
        </row>
        <row r="764">
          <cell r="B764" t="str">
            <v>Щебень толщ. 400мм</v>
          </cell>
        </row>
        <row r="765">
          <cell r="B765" t="str">
            <v xml:space="preserve">Песок толщ. 400мм </v>
          </cell>
        </row>
        <row r="766">
          <cell r="B766" t="str">
            <v xml:space="preserve">Песок толщ. 400мм </v>
          </cell>
        </row>
        <row r="768">
          <cell r="B768" t="str">
            <v>Дороги и грузовая парковка</v>
          </cell>
        </row>
        <row r="769">
          <cell r="B769" t="str">
            <v>Асфальтовое покрытие толщ. 120мм  (40+80мм)</v>
          </cell>
        </row>
        <row r="770">
          <cell r="B770" t="str">
            <v>Щебень толщ. 400мм</v>
          </cell>
        </row>
        <row r="771">
          <cell r="B771" t="str">
            <v xml:space="preserve">Песок толщ. 400мм </v>
          </cell>
        </row>
        <row r="773">
          <cell r="B773" t="str">
            <v>Легковая парковка</v>
          </cell>
        </row>
        <row r="774">
          <cell r="B774" t="str">
            <v>Асфальтовое покрытие толщ. 100мм  (40+60мм)</v>
          </cell>
        </row>
        <row r="775">
          <cell r="B775" t="str">
            <v>Щебень толщ. 300мм</v>
          </cell>
        </row>
        <row r="776">
          <cell r="B776" t="str">
            <v xml:space="preserve">Песок толщ. 300мм </v>
          </cell>
        </row>
        <row r="778">
          <cell r="B778" t="str">
            <v>Разметка, наружные</v>
          </cell>
        </row>
        <row r="779">
          <cell r="B779" t="str">
            <v>Площадка (главный вход)</v>
          </cell>
        </row>
        <row r="780">
          <cell r="B780" t="str">
            <v>Плитка "Terrazzo", 40х40 см, "Field Colour"</v>
          </cell>
        </row>
        <row r="781">
          <cell r="B781" t="str">
            <v>Цементно-песчаная смесь толщ. 50 мм</v>
          </cell>
        </row>
        <row r="782">
          <cell r="B782" t="str">
            <v>Цементно-песчаная смесь толщ. 50 мм</v>
          </cell>
        </row>
        <row r="783">
          <cell r="B783" t="str">
            <v xml:space="preserve">Песок толщ. 720мм </v>
          </cell>
        </row>
        <row r="784">
          <cell r="B784" t="str">
            <v>Геотекстиль</v>
          </cell>
        </row>
        <row r="785">
          <cell r="B785" t="str">
            <v>Площадка (зона входа в лестничные клетки)</v>
          </cell>
        </row>
        <row r="786">
          <cell r="B786" t="str">
            <v>Бетонные плитки</v>
          </cell>
        </row>
        <row r="787">
          <cell r="B787" t="str">
            <v>Цементно-песчаная смесь толщ. 50 мм</v>
          </cell>
        </row>
        <row r="788">
          <cell r="B788" t="str">
            <v xml:space="preserve">Песок толщ. 720мм </v>
          </cell>
        </row>
        <row r="789">
          <cell r="B789" t="str">
            <v>Геотекстиль</v>
          </cell>
        </row>
        <row r="790">
          <cell r="B790" t="str">
            <v>Бордюры</v>
          </cell>
        </row>
        <row r="791">
          <cell r="B791" t="str">
            <v xml:space="preserve">Бордюрный камень, внутренний  </v>
          </cell>
        </row>
        <row r="792">
          <cell r="B792" t="str">
            <v>Бетон В 15</v>
          </cell>
        </row>
        <row r="793">
          <cell r="B793" t="str">
            <v>Опалубка</v>
          </cell>
        </row>
        <row r="794">
          <cell r="B794" t="str">
            <v>Крыльца</v>
          </cell>
        </row>
        <row r="795">
          <cell r="B795" t="str">
            <v>Облицовка крыльца бетонными плитками, наружные</v>
          </cell>
        </row>
        <row r="796">
          <cell r="B796" t="str">
            <v>Ограждение крыльца из окрашенной трубы</v>
          </cell>
        </row>
        <row r="797">
          <cell r="B797" t="str">
            <v>Asphalt/Paving/Curbs/Painting</v>
          </cell>
        </row>
        <row r="798">
          <cell r="B798" t="str">
            <v>Дороги и грузовая парковка</v>
          </cell>
        </row>
        <row r="799">
          <cell r="B799" t="str">
            <v>Асфальтовое покрытие толщ. 120мм  (40+80мм)</v>
          </cell>
        </row>
        <row r="800">
          <cell r="B800" t="str">
            <v>Щебень толщ. 400мм</v>
          </cell>
        </row>
        <row r="801">
          <cell r="B801" t="str">
            <v xml:space="preserve">Песок толщ. 400мм </v>
          </cell>
        </row>
        <row r="802">
          <cell r="B802" t="str">
            <v xml:space="preserve">Песок толщ. 400мм </v>
          </cell>
        </row>
        <row r="804">
          <cell r="B804" t="str">
            <v>Дороги и грузовая парковка</v>
          </cell>
        </row>
        <row r="805">
          <cell r="B805" t="str">
            <v>Асфальтовое покрытие толщ. 120мм  (40+80мм)</v>
          </cell>
        </row>
        <row r="806">
          <cell r="B806" t="str">
            <v>Щебень толщ. 400мм</v>
          </cell>
        </row>
        <row r="807">
          <cell r="B807" t="str">
            <v xml:space="preserve">Песок толщ. 400мм </v>
          </cell>
        </row>
        <row r="810">
          <cell r="B810" t="str">
            <v>Легковая парковка</v>
          </cell>
        </row>
        <row r="811">
          <cell r="B811" t="str">
            <v>Асфальтовое покрытие толщ. 100мм  (40+60мм)</v>
          </cell>
        </row>
        <row r="812">
          <cell r="B812" t="str">
            <v>Щебень толщ. 300мм</v>
          </cell>
        </row>
        <row r="813">
          <cell r="B813" t="str">
            <v xml:space="preserve">Песок толщ. 300мм </v>
          </cell>
        </row>
        <row r="815">
          <cell r="B815" t="str">
            <v>Легковая парковка</v>
          </cell>
        </row>
        <row r="816">
          <cell r="B816" t="str">
            <v>Асфальтовое покрытие толщ. 100мм  (40+60мм)</v>
          </cell>
        </row>
        <row r="817">
          <cell r="B817" t="str">
            <v xml:space="preserve">Песок толщ. 300мм </v>
          </cell>
        </row>
        <row r="819">
          <cell r="B819" t="str">
            <v>Легковая парковка</v>
          </cell>
        </row>
        <row r="820">
          <cell r="B820" t="str">
            <v>Асфальтовое покрытие толщ. 100мм  (40+60мм)</v>
          </cell>
        </row>
        <row r="821">
          <cell r="B821" t="str">
            <v>Щебень толщ. 300мм</v>
          </cell>
        </row>
        <row r="822">
          <cell r="B822" t="str">
            <v>Landscaping</v>
          </cell>
        </row>
        <row r="823">
          <cell r="B823" t="str">
            <v>Газон</v>
          </cell>
        </row>
        <row r="824">
          <cell r="B824" t="str">
            <v>Почвенно-растительный слой толщ. 100мм</v>
          </cell>
        </row>
        <row r="825">
          <cell r="B825" t="str">
            <v>Посев травы</v>
          </cell>
        </row>
        <row r="826">
          <cell r="B826" t="str">
            <v>Почвенно-растительный слой толщ. 100мм</v>
          </cell>
        </row>
        <row r="827">
          <cell r="B827" t="str">
            <v>Посев травы</v>
          </cell>
        </row>
        <row r="828">
          <cell r="B828" t="str">
            <v>Почвенно-растительный слой толщ. 100мм</v>
          </cell>
        </row>
        <row r="829">
          <cell r="B829" t="str">
            <v>Почвенно-растительный слой толщ. 100мм</v>
          </cell>
        </row>
        <row r="830">
          <cell r="B830" t="str">
            <v>Посев травы</v>
          </cell>
        </row>
        <row r="831">
          <cell r="B831" t="str">
            <v>Sign Towers</v>
          </cell>
        </row>
        <row r="832">
          <cell r="B832" t="str">
            <v>Tower signage-1, Mega</v>
          </cell>
        </row>
        <row r="839">
          <cell r="B839" t="str">
            <v>Tower signage-2, Ikea</v>
          </cell>
        </row>
        <row r="844">
          <cell r="B844" t="str">
            <v>Fencing/Flagpoles/Signage/Etc.</v>
          </cell>
        </row>
        <row r="845">
          <cell r="B845" t="str">
            <v>Landscaping Elements</v>
          </cell>
        </row>
        <row r="846">
          <cell r="B846" t="str">
            <v>Speed Bumper, 7 м</v>
          </cell>
        </row>
        <row r="847">
          <cell r="B847" t="str">
            <v>Speed Bumper, бетонная, наружные</v>
          </cell>
        </row>
        <row r="848">
          <cell r="B848" t="str">
            <v>Speed Bumper, бетонная, наружные</v>
          </cell>
        </row>
        <row r="849">
          <cell r="B849" t="str">
            <v>Mall signage billboard</v>
          </cell>
        </row>
        <row r="850">
          <cell r="B850" t="str">
            <v>Flags</v>
          </cell>
        </row>
        <row r="851">
          <cell r="B851" t="str">
            <v>Benches</v>
          </cell>
        </row>
        <row r="852">
          <cell r="B852" t="str">
            <v>Ash &amp; Trash bins</v>
          </cell>
        </row>
        <row r="853">
          <cell r="B853" t="str">
            <v>Ash &amp; Trash bins</v>
          </cell>
        </row>
        <row r="854">
          <cell r="B854" t="str">
            <v>Bus stop shelters</v>
          </cell>
        </row>
        <row r="855">
          <cell r="B855" t="str">
            <v>Fencing around the loading areas</v>
          </cell>
        </row>
        <row r="856">
          <cell r="B856" t="str">
            <v>Gates for the fences around the loading areas</v>
          </cell>
        </row>
        <row r="857">
          <cell r="B857" t="str">
            <v>Christmas Tree Pole (D=600 mm)</v>
          </cell>
        </row>
        <row r="858">
          <cell r="B858" t="str">
            <v>Traffic Signs</v>
          </cell>
        </row>
        <row r="861">
          <cell r="B861" t="str">
            <v>Traffic Lights</v>
          </cell>
        </row>
        <row r="866">
          <cell r="B866" t="str">
            <v xml:space="preserve">Bollards for protection of pedestrian walkways, h: 80 cm, </v>
          </cell>
        </row>
        <row r="867">
          <cell r="B867" t="str">
            <v xml:space="preserve">Bollards for protection of pedestrian walkways, h: 80 cm, </v>
          </cell>
        </row>
        <row r="868">
          <cell r="B868" t="str">
            <v xml:space="preserve">Bollards for protection of pedestrian walkways, h: 80 cm, </v>
          </cell>
        </row>
        <row r="870">
          <cell r="B870" t="str">
            <v>Grand Total Fixed Lump Sum excl VAT: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1">
          <cell r="B1" t="str">
            <v>Description</v>
          </cell>
        </row>
      </sheetData>
      <sheetData sheetId="59">
        <row r="1">
          <cell r="B1" t="str">
            <v>Description</v>
          </cell>
        </row>
      </sheetData>
      <sheetData sheetId="60">
        <row r="1">
          <cell r="B1" t="str">
            <v>Description</v>
          </cell>
        </row>
      </sheetData>
      <sheetData sheetId="61">
        <row r="1">
          <cell r="B1" t="str">
            <v>Description</v>
          </cell>
        </row>
      </sheetData>
      <sheetData sheetId="62">
        <row r="1">
          <cell r="B1" t="str">
            <v>Description</v>
          </cell>
        </row>
      </sheetData>
      <sheetData sheetId="63">
        <row r="1">
          <cell r="B1" t="str">
            <v>Description</v>
          </cell>
        </row>
      </sheetData>
      <sheetData sheetId="64">
        <row r="1">
          <cell r="B1" t="str">
            <v>Description</v>
          </cell>
        </row>
      </sheetData>
      <sheetData sheetId="65">
        <row r="1">
          <cell r="B1" t="str">
            <v>Description</v>
          </cell>
        </row>
      </sheetData>
      <sheetData sheetId="66">
        <row r="1">
          <cell r="B1" t="str">
            <v>Description</v>
          </cell>
        </row>
      </sheetData>
      <sheetData sheetId="67">
        <row r="1">
          <cell r="B1" t="str">
            <v>Description</v>
          </cell>
        </row>
      </sheetData>
      <sheetData sheetId="68">
        <row r="1">
          <cell r="B1" t="str">
            <v>Description</v>
          </cell>
        </row>
      </sheetData>
      <sheetData sheetId="69">
        <row r="1">
          <cell r="B1" t="str">
            <v>Description</v>
          </cell>
        </row>
      </sheetData>
      <sheetData sheetId="70">
        <row r="1">
          <cell r="B1" t="str">
            <v>Description</v>
          </cell>
        </row>
      </sheetData>
      <sheetData sheetId="71">
        <row r="1">
          <cell r="B1" t="str">
            <v>Description</v>
          </cell>
        </row>
      </sheetData>
      <sheetData sheetId="72">
        <row r="1">
          <cell r="B1" t="str">
            <v>Description</v>
          </cell>
        </row>
      </sheetData>
      <sheetData sheetId="73" refreshError="1"/>
      <sheetData sheetId="74" refreshError="1"/>
      <sheetData sheetId="75">
        <row r="1">
          <cell r="B1" t="str">
            <v>Description</v>
          </cell>
        </row>
      </sheetData>
      <sheetData sheetId="76" refreshError="1"/>
      <sheetData sheetId="77" refreshError="1"/>
      <sheetData sheetId="78" refreshError="1"/>
      <sheetData sheetId="79" refreshError="1"/>
      <sheetData sheetId="80">
        <row r="1">
          <cell r="B1" t="str">
            <v>Description</v>
          </cell>
        </row>
      </sheetData>
      <sheetData sheetId="81">
        <row r="1">
          <cell r="B1" t="str">
            <v>Description</v>
          </cell>
        </row>
      </sheetData>
      <sheetData sheetId="82">
        <row r="1">
          <cell r="B1" t="str">
            <v>Description</v>
          </cell>
        </row>
      </sheetData>
      <sheetData sheetId="83">
        <row r="1">
          <cell r="B1" t="str">
            <v>Description</v>
          </cell>
        </row>
      </sheetData>
      <sheetData sheetId="84">
        <row r="1">
          <cell r="B1" t="str">
            <v>Description</v>
          </cell>
        </row>
      </sheetData>
      <sheetData sheetId="85">
        <row r="1">
          <cell r="B1" t="str">
            <v>Description</v>
          </cell>
        </row>
      </sheetData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>
        <row r="1">
          <cell r="B1">
            <v>0</v>
          </cell>
        </row>
      </sheetData>
      <sheetData sheetId="139">
        <row r="1">
          <cell r="B1">
            <v>0</v>
          </cell>
        </row>
      </sheetData>
      <sheetData sheetId="140">
        <row r="1">
          <cell r="B1">
            <v>0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>
        <row r="1">
          <cell r="B1">
            <v>0</v>
          </cell>
        </row>
      </sheetData>
      <sheetData sheetId="178">
        <row r="1">
          <cell r="B1">
            <v>0</v>
          </cell>
        </row>
      </sheetData>
      <sheetData sheetId="179">
        <row r="1">
          <cell r="B1">
            <v>0</v>
          </cell>
        </row>
      </sheetData>
      <sheetData sheetId="180">
        <row r="1">
          <cell r="B1">
            <v>0</v>
          </cell>
        </row>
      </sheetData>
      <sheetData sheetId="181">
        <row r="1">
          <cell r="B1">
            <v>0</v>
          </cell>
        </row>
      </sheetData>
      <sheetData sheetId="182" refreshError="1"/>
      <sheetData sheetId="183" refreshError="1"/>
      <sheetData sheetId="184" refreshError="1"/>
      <sheetData sheetId="185">
        <row r="1">
          <cell r="B1">
            <v>0</v>
          </cell>
        </row>
      </sheetData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>
        <row r="1">
          <cell r="B1" t="str">
            <v>Description</v>
          </cell>
        </row>
      </sheetData>
      <sheetData sheetId="20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тр-р"/>
      <sheetName val="вмт"/>
      <sheetName val="КРУ"/>
      <sheetName val="в-в"/>
      <sheetName val="РВО"/>
      <sheetName val="ТОЛ"/>
      <sheetName val="КТП"/>
      <sheetName val="ЩСУ"/>
      <sheetName val="РТЗУ"/>
      <sheetName val="пкр"/>
      <sheetName val=" ППБ-УПНС"/>
      <sheetName val="крув"/>
      <sheetName val="ТСВП"/>
      <sheetName val="варп"/>
      <sheetName val="блок"/>
      <sheetName val="пви"/>
      <sheetName val="лса"/>
      <sheetName val="изолятор"/>
      <sheetName val="пускат"/>
      <sheetName val="РТЛ"/>
      <sheetName val="АВ400"/>
      <sheetName val="курв"/>
      <sheetName val="апшош"/>
      <sheetName val="ключ"/>
      <sheetName val="ПКУЗ"/>
      <sheetName val="ВП"/>
      <sheetName val="ящик"/>
      <sheetName val="кмт кт"/>
      <sheetName val="ПКУ"/>
      <sheetName val="ПКЕ"/>
      <sheetName val="КЕ011"/>
      <sheetName val="РИП"/>
      <sheetName val="ОСМ"/>
      <sheetName val="ТСП"/>
      <sheetName val="ВПВ"/>
      <sheetName val="печь"/>
      <sheetName val="светоф"/>
      <sheetName val="сс"/>
      <sheetName val="сс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4"/>
  <sheetViews>
    <sheetView tabSelected="1" zoomScale="55" zoomScaleNormal="55" workbookViewId="0">
      <selection activeCell="O15" sqref="O15"/>
    </sheetView>
  </sheetViews>
  <sheetFormatPr defaultColWidth="9.140625" defaultRowHeight="16.5" outlineLevelCol="1"/>
  <cols>
    <col min="1" max="1" width="4.7109375" style="2" customWidth="1"/>
    <col min="2" max="2" width="9.85546875" style="1" customWidth="1"/>
    <col min="3" max="3" width="26.85546875" style="2" customWidth="1"/>
    <col min="4" max="4" width="23.85546875" style="2" customWidth="1"/>
    <col min="5" max="5" width="11" style="1" customWidth="1"/>
    <col min="6" max="6" width="17.42578125" style="1" customWidth="1"/>
    <col min="7" max="7" width="31.42578125" style="1" customWidth="1" outlineLevel="1"/>
    <col min="8" max="8" width="8.85546875" style="1" customWidth="1" outlineLevel="1"/>
    <col min="9" max="9" width="9.28515625" style="3" customWidth="1"/>
    <col min="10" max="10" width="13.28515625" style="1" customWidth="1"/>
    <col min="11" max="11" width="58.7109375" style="4" customWidth="1"/>
    <col min="12" max="13" width="9.140625" style="5"/>
    <col min="14" max="14" width="46" style="1" customWidth="1"/>
    <col min="15" max="15" width="47.7109375" style="1" customWidth="1"/>
    <col min="16" max="16384" width="9.140625" style="1"/>
  </cols>
  <sheetData>
    <row r="1" spans="1:14">
      <c r="A1" s="7"/>
      <c r="B1" s="6"/>
      <c r="C1" s="7"/>
      <c r="D1" s="7"/>
      <c r="E1" s="6"/>
      <c r="F1" s="6"/>
      <c r="G1" s="6"/>
      <c r="H1" s="6"/>
    </row>
    <row r="2" spans="1:14" s="8" customFormat="1" ht="51.75" customHeight="1">
      <c r="A2" s="9" t="s">
        <v>0</v>
      </c>
      <c r="B2" s="10" t="s">
        <v>1</v>
      </c>
      <c r="C2" s="9" t="s">
        <v>2</v>
      </c>
      <c r="D2" s="9" t="s">
        <v>3</v>
      </c>
      <c r="E2" s="11" t="s">
        <v>4</v>
      </c>
      <c r="F2" s="11" t="s">
        <v>5</v>
      </c>
      <c r="G2" s="10" t="s">
        <v>6</v>
      </c>
      <c r="H2" s="10" t="s">
        <v>7</v>
      </c>
      <c r="I2" s="12" t="s">
        <v>8</v>
      </c>
      <c r="J2" s="13" t="s">
        <v>9</v>
      </c>
      <c r="K2" s="10" t="s">
        <v>10</v>
      </c>
      <c r="L2" s="10" t="s">
        <v>7</v>
      </c>
      <c r="M2" s="10" t="s">
        <v>8</v>
      </c>
      <c r="N2" s="10" t="s">
        <v>202</v>
      </c>
    </row>
    <row r="3" spans="1:14" s="14" customFormat="1" ht="16.5" customHeight="1">
      <c r="A3" s="15">
        <v>1</v>
      </c>
      <c r="B3" s="16">
        <v>3</v>
      </c>
      <c r="C3" s="15">
        <v>4</v>
      </c>
      <c r="D3" s="15">
        <v>5</v>
      </c>
      <c r="E3" s="16">
        <v>10</v>
      </c>
      <c r="F3" s="16">
        <v>11</v>
      </c>
      <c r="G3" s="16">
        <v>14</v>
      </c>
      <c r="H3" s="16">
        <v>15</v>
      </c>
      <c r="I3" s="17">
        <v>16</v>
      </c>
      <c r="J3" s="16">
        <v>18</v>
      </c>
      <c r="K3" s="16">
        <v>19</v>
      </c>
      <c r="L3" s="16">
        <v>20</v>
      </c>
      <c r="M3" s="18">
        <v>21</v>
      </c>
      <c r="N3" s="24"/>
    </row>
    <row r="4" spans="1:14" s="19" customFormat="1" ht="32.25" customHeight="1">
      <c r="A4" s="20">
        <v>1</v>
      </c>
      <c r="B4" s="21" t="s">
        <v>11</v>
      </c>
      <c r="C4" s="20" t="s">
        <v>12</v>
      </c>
      <c r="D4" s="20" t="s">
        <v>13</v>
      </c>
      <c r="E4" s="22" t="s">
        <v>14</v>
      </c>
      <c r="F4" s="23"/>
      <c r="G4" s="53" t="s">
        <v>15</v>
      </c>
      <c r="H4" s="54"/>
      <c r="I4" s="54"/>
      <c r="J4" s="54"/>
      <c r="K4" s="54"/>
      <c r="L4" s="54"/>
      <c r="M4" s="54"/>
      <c r="N4" s="55"/>
    </row>
    <row r="5" spans="1:14" s="19" customFormat="1" ht="32.25" customHeight="1">
      <c r="A5" s="20">
        <v>2</v>
      </c>
      <c r="B5" s="21" t="s">
        <v>11</v>
      </c>
      <c r="C5" s="20" t="s">
        <v>12</v>
      </c>
      <c r="D5" s="20" t="s">
        <v>13</v>
      </c>
      <c r="E5" s="21" t="s">
        <v>17</v>
      </c>
      <c r="F5" s="23" t="s">
        <v>18</v>
      </c>
      <c r="G5" s="44" t="s">
        <v>19</v>
      </c>
      <c r="H5" s="45" t="s">
        <v>20</v>
      </c>
      <c r="I5" s="46">
        <f>122/2</f>
        <v>61</v>
      </c>
      <c r="J5" s="38"/>
      <c r="K5" s="39"/>
      <c r="L5" s="40"/>
      <c r="M5" s="41"/>
      <c r="N5" s="34" t="s">
        <v>215</v>
      </c>
    </row>
    <row r="6" spans="1:14" s="19" customFormat="1" ht="31.5">
      <c r="A6" s="20">
        <v>3</v>
      </c>
      <c r="B6" s="21" t="s">
        <v>11</v>
      </c>
      <c r="C6" s="20" t="s">
        <v>12</v>
      </c>
      <c r="D6" s="20" t="s">
        <v>13</v>
      </c>
      <c r="E6" s="21" t="s">
        <v>17</v>
      </c>
      <c r="F6" s="23" t="s">
        <v>21</v>
      </c>
      <c r="G6" s="35" t="s">
        <v>22</v>
      </c>
      <c r="H6" s="36" t="s">
        <v>20</v>
      </c>
      <c r="I6" s="37">
        <f>ROUND(I4*4.4,0)</f>
        <v>0</v>
      </c>
      <c r="J6" s="38" t="s">
        <v>23</v>
      </c>
      <c r="K6" s="39" t="s">
        <v>24</v>
      </c>
      <c r="L6" s="40" t="s">
        <v>20</v>
      </c>
      <c r="M6" s="41">
        <v>5649</v>
      </c>
      <c r="N6" s="34" t="s">
        <v>217</v>
      </c>
    </row>
    <row r="7" spans="1:14" s="19" customFormat="1" ht="31.5">
      <c r="A7" s="20">
        <v>4</v>
      </c>
      <c r="B7" s="21" t="s">
        <v>11</v>
      </c>
      <c r="C7" s="20" t="s">
        <v>12</v>
      </c>
      <c r="D7" s="20" t="s">
        <v>13</v>
      </c>
      <c r="E7" s="21" t="s">
        <v>17</v>
      </c>
      <c r="F7" s="23" t="s">
        <v>21</v>
      </c>
      <c r="G7" s="35" t="s">
        <v>25</v>
      </c>
      <c r="H7" s="36" t="s">
        <v>20</v>
      </c>
      <c r="I7" s="37">
        <f>ROUND(I4*3.3,0)</f>
        <v>0</v>
      </c>
      <c r="J7" s="38" t="s">
        <v>26</v>
      </c>
      <c r="K7" s="39" t="s">
        <v>27</v>
      </c>
      <c r="L7" s="40" t="s">
        <v>20</v>
      </c>
      <c r="M7" s="41">
        <v>6453</v>
      </c>
      <c r="N7" s="34" t="s">
        <v>217</v>
      </c>
    </row>
    <row r="8" spans="1:14" s="19" customFormat="1" ht="32.25" customHeight="1">
      <c r="A8" s="20">
        <v>5</v>
      </c>
      <c r="B8" s="21" t="s">
        <v>11</v>
      </c>
      <c r="C8" s="20" t="s">
        <v>12</v>
      </c>
      <c r="D8" s="20" t="s">
        <v>13</v>
      </c>
      <c r="E8" s="21" t="s">
        <v>17</v>
      </c>
      <c r="F8" s="23" t="s">
        <v>21</v>
      </c>
      <c r="G8" s="35" t="s">
        <v>28</v>
      </c>
      <c r="H8" s="36" t="s">
        <v>29</v>
      </c>
      <c r="I8" s="37">
        <f t="shared" ref="I8:I13" si="0">70/2</f>
        <v>35</v>
      </c>
      <c r="J8" s="38" t="s">
        <v>30</v>
      </c>
      <c r="K8" s="39" t="s">
        <v>31</v>
      </c>
      <c r="L8" s="40" t="s">
        <v>29</v>
      </c>
      <c r="M8" s="41">
        <v>80</v>
      </c>
      <c r="N8" s="34" t="s">
        <v>208</v>
      </c>
    </row>
    <row r="9" spans="1:14" s="19" customFormat="1" ht="32.25" customHeight="1">
      <c r="A9" s="20">
        <v>6</v>
      </c>
      <c r="B9" s="21" t="s">
        <v>11</v>
      </c>
      <c r="C9" s="20" t="s">
        <v>12</v>
      </c>
      <c r="D9" s="20" t="s">
        <v>13</v>
      </c>
      <c r="E9" s="21" t="s">
        <v>17</v>
      </c>
      <c r="F9" s="23" t="s">
        <v>21</v>
      </c>
      <c r="G9" s="35" t="s">
        <v>32</v>
      </c>
      <c r="H9" s="36" t="s">
        <v>29</v>
      </c>
      <c r="I9" s="37">
        <f t="shared" si="0"/>
        <v>35</v>
      </c>
      <c r="J9" s="38" t="s">
        <v>33</v>
      </c>
      <c r="K9" s="39" t="s">
        <v>34</v>
      </c>
      <c r="L9" s="40" t="s">
        <v>29</v>
      </c>
      <c r="M9" s="41">
        <v>80</v>
      </c>
      <c r="N9" s="34" t="s">
        <v>208</v>
      </c>
    </row>
    <row r="10" spans="1:14" s="19" customFormat="1" ht="36" customHeight="1">
      <c r="A10" s="20">
        <v>7</v>
      </c>
      <c r="B10" s="21" t="s">
        <v>11</v>
      </c>
      <c r="C10" s="20" t="s">
        <v>12</v>
      </c>
      <c r="D10" s="20" t="s">
        <v>13</v>
      </c>
      <c r="E10" s="21" t="s">
        <v>17</v>
      </c>
      <c r="F10" s="23" t="s">
        <v>21</v>
      </c>
      <c r="G10" s="35" t="s">
        <v>35</v>
      </c>
      <c r="H10" s="36" t="s">
        <v>29</v>
      </c>
      <c r="I10" s="37">
        <f t="shared" si="0"/>
        <v>35</v>
      </c>
      <c r="J10" s="38" t="s">
        <v>36</v>
      </c>
      <c r="K10" s="39" t="s">
        <v>37</v>
      </c>
      <c r="L10" s="40" t="s">
        <v>38</v>
      </c>
      <c r="M10" s="41">
        <v>70</v>
      </c>
      <c r="N10" s="34" t="s">
        <v>214</v>
      </c>
    </row>
    <row r="11" spans="1:14" s="19" customFormat="1" ht="32.25" customHeight="1">
      <c r="A11" s="20">
        <v>8</v>
      </c>
      <c r="B11" s="21" t="s">
        <v>11</v>
      </c>
      <c r="C11" s="20" t="s">
        <v>12</v>
      </c>
      <c r="D11" s="20" t="s">
        <v>13</v>
      </c>
      <c r="E11" s="21" t="s">
        <v>17</v>
      </c>
      <c r="F11" s="23" t="s">
        <v>21</v>
      </c>
      <c r="G11" s="35" t="s">
        <v>39</v>
      </c>
      <c r="H11" s="36" t="s">
        <v>29</v>
      </c>
      <c r="I11" s="37">
        <f t="shared" si="0"/>
        <v>35</v>
      </c>
      <c r="J11" s="38" t="s">
        <v>40</v>
      </c>
      <c r="K11" s="39" t="s">
        <v>41</v>
      </c>
      <c r="L11" s="40" t="s">
        <v>38</v>
      </c>
      <c r="M11" s="41">
        <v>70</v>
      </c>
      <c r="N11" s="34" t="s">
        <v>214</v>
      </c>
    </row>
    <row r="12" spans="1:14" s="19" customFormat="1" ht="32.25" customHeight="1">
      <c r="A12" s="20">
        <v>9</v>
      </c>
      <c r="B12" s="21" t="s">
        <v>11</v>
      </c>
      <c r="C12" s="20" t="s">
        <v>12</v>
      </c>
      <c r="D12" s="20" t="s">
        <v>13</v>
      </c>
      <c r="E12" s="21" t="s">
        <v>17</v>
      </c>
      <c r="F12" s="23" t="s">
        <v>21</v>
      </c>
      <c r="G12" s="35" t="s">
        <v>42</v>
      </c>
      <c r="H12" s="36" t="s">
        <v>29</v>
      </c>
      <c r="I12" s="37">
        <f t="shared" si="0"/>
        <v>35</v>
      </c>
      <c r="J12" s="38" t="s">
        <v>43</v>
      </c>
      <c r="K12" s="39" t="s">
        <v>44</v>
      </c>
      <c r="L12" s="40" t="s">
        <v>38</v>
      </c>
      <c r="M12" s="41">
        <v>70</v>
      </c>
      <c r="N12" s="34" t="s">
        <v>214</v>
      </c>
    </row>
    <row r="13" spans="1:14" s="19" customFormat="1" ht="32.25" customHeight="1">
      <c r="A13" s="20">
        <v>10</v>
      </c>
      <c r="B13" s="21" t="s">
        <v>11</v>
      </c>
      <c r="C13" s="20" t="s">
        <v>12</v>
      </c>
      <c r="D13" s="20" t="s">
        <v>13</v>
      </c>
      <c r="E13" s="21" t="s">
        <v>17</v>
      </c>
      <c r="F13" s="23" t="s">
        <v>21</v>
      </c>
      <c r="G13" s="35" t="s">
        <v>45</v>
      </c>
      <c r="H13" s="36" t="s">
        <v>29</v>
      </c>
      <c r="I13" s="37">
        <f t="shared" si="0"/>
        <v>35</v>
      </c>
      <c r="J13" s="38" t="s">
        <v>46</v>
      </c>
      <c r="K13" s="39" t="s">
        <v>47</v>
      </c>
      <c r="L13" s="40" t="s">
        <v>38</v>
      </c>
      <c r="M13" s="41">
        <v>70</v>
      </c>
      <c r="N13" s="34" t="s">
        <v>214</v>
      </c>
    </row>
    <row r="14" spans="1:14" s="19" customFormat="1" ht="32.25" customHeight="1">
      <c r="A14" s="20">
        <v>11</v>
      </c>
      <c r="B14" s="21" t="s">
        <v>11</v>
      </c>
      <c r="C14" s="20" t="s">
        <v>12</v>
      </c>
      <c r="D14" s="20" t="s">
        <v>13</v>
      </c>
      <c r="E14" s="21" t="s">
        <v>17</v>
      </c>
      <c r="F14" s="23" t="s">
        <v>21</v>
      </c>
      <c r="G14" s="35" t="s">
        <v>48</v>
      </c>
      <c r="H14" s="36" t="s">
        <v>29</v>
      </c>
      <c r="I14" s="37">
        <f>5.4/2</f>
        <v>2.7</v>
      </c>
      <c r="J14" s="38" t="s">
        <v>49</v>
      </c>
      <c r="K14" s="39" t="s">
        <v>50</v>
      </c>
      <c r="L14" s="40" t="s">
        <v>38</v>
      </c>
      <c r="M14" s="41">
        <v>7.5</v>
      </c>
      <c r="N14" s="34" t="s">
        <v>214</v>
      </c>
    </row>
    <row r="15" spans="1:14" s="19" customFormat="1" ht="32.25" customHeight="1">
      <c r="A15" s="20">
        <v>12</v>
      </c>
      <c r="B15" s="21" t="s">
        <v>11</v>
      </c>
      <c r="C15" s="20" t="s">
        <v>12</v>
      </c>
      <c r="D15" s="20" t="s">
        <v>13</v>
      </c>
      <c r="E15" s="21" t="s">
        <v>17</v>
      </c>
      <c r="F15" s="23" t="s">
        <v>21</v>
      </c>
      <c r="G15" s="35" t="s">
        <v>51</v>
      </c>
      <c r="H15" s="36" t="s">
        <v>20</v>
      </c>
      <c r="I15" s="37">
        <f>4/2</f>
        <v>2</v>
      </c>
      <c r="J15" s="38" t="s">
        <v>52</v>
      </c>
      <c r="K15" s="39" t="s">
        <v>53</v>
      </c>
      <c r="L15" s="40" t="s">
        <v>38</v>
      </c>
      <c r="M15" s="41">
        <v>10</v>
      </c>
      <c r="N15" s="34" t="s">
        <v>214</v>
      </c>
    </row>
    <row r="16" spans="1:14" s="19" customFormat="1" ht="31.5">
      <c r="A16" s="20">
        <v>13</v>
      </c>
      <c r="B16" s="21" t="s">
        <v>11</v>
      </c>
      <c r="C16" s="20" t="s">
        <v>12</v>
      </c>
      <c r="D16" s="20" t="s">
        <v>13</v>
      </c>
      <c r="E16" s="21" t="s">
        <v>17</v>
      </c>
      <c r="F16" s="23" t="s">
        <v>21</v>
      </c>
      <c r="G16" s="35" t="s">
        <v>54</v>
      </c>
      <c r="H16" s="36" t="s">
        <v>20</v>
      </c>
      <c r="I16" s="37">
        <f>+ROUND(37/2,0)</f>
        <v>19</v>
      </c>
      <c r="J16" s="38" t="s">
        <v>23</v>
      </c>
      <c r="K16" s="39" t="s">
        <v>24</v>
      </c>
      <c r="L16" s="40"/>
      <c r="M16" s="41"/>
      <c r="N16" s="34" t="s">
        <v>217</v>
      </c>
    </row>
    <row r="17" spans="1:15" s="19" customFormat="1" ht="31.5">
      <c r="A17" s="20">
        <v>14</v>
      </c>
      <c r="B17" s="21" t="s">
        <v>11</v>
      </c>
      <c r="C17" s="20" t="s">
        <v>12</v>
      </c>
      <c r="D17" s="20" t="s">
        <v>13</v>
      </c>
      <c r="E17" s="21" t="s">
        <v>17</v>
      </c>
      <c r="F17" s="23" t="s">
        <v>21</v>
      </c>
      <c r="G17" s="35" t="s">
        <v>55</v>
      </c>
      <c r="H17" s="36" t="s">
        <v>20</v>
      </c>
      <c r="I17" s="37">
        <f>+ROUND(1128/2,0)</f>
        <v>564</v>
      </c>
      <c r="J17" s="38" t="s">
        <v>26</v>
      </c>
      <c r="K17" s="39" t="s">
        <v>27</v>
      </c>
      <c r="L17" s="40"/>
      <c r="M17" s="41"/>
      <c r="N17" s="34" t="s">
        <v>217</v>
      </c>
    </row>
    <row r="18" spans="1:15" s="19" customFormat="1" ht="31.5">
      <c r="A18" s="20">
        <v>15</v>
      </c>
      <c r="B18" s="21" t="s">
        <v>11</v>
      </c>
      <c r="C18" s="20" t="s">
        <v>12</v>
      </c>
      <c r="D18" s="20" t="s">
        <v>13</v>
      </c>
      <c r="E18" s="21" t="s">
        <v>17</v>
      </c>
      <c r="F18" s="23" t="s">
        <v>21</v>
      </c>
      <c r="G18" s="35" t="s">
        <v>56</v>
      </c>
      <c r="H18" s="36" t="s">
        <v>20</v>
      </c>
      <c r="I18" s="37">
        <f>+ROUND(352/2,0)</f>
        <v>176</v>
      </c>
      <c r="J18" s="38"/>
      <c r="K18" s="39"/>
      <c r="L18" s="40"/>
      <c r="M18" s="41"/>
      <c r="N18" s="34" t="s">
        <v>225</v>
      </c>
    </row>
    <row r="19" spans="1:15" s="19" customFormat="1" ht="32.25" customHeight="1">
      <c r="A19" s="20">
        <v>16</v>
      </c>
      <c r="B19" s="21" t="s">
        <v>11</v>
      </c>
      <c r="C19" s="20" t="s">
        <v>12</v>
      </c>
      <c r="D19" s="20" t="s">
        <v>13</v>
      </c>
      <c r="E19" s="21" t="s">
        <v>17</v>
      </c>
      <c r="F19" s="23" t="s">
        <v>21</v>
      </c>
      <c r="G19" s="35" t="s">
        <v>57</v>
      </c>
      <c r="H19" s="36" t="s">
        <v>29</v>
      </c>
      <c r="I19" s="37">
        <f>70/2</f>
        <v>35</v>
      </c>
      <c r="J19" s="38" t="s">
        <v>58</v>
      </c>
      <c r="K19" s="39" t="s">
        <v>59</v>
      </c>
      <c r="L19" s="40" t="s">
        <v>20</v>
      </c>
      <c r="M19" s="41">
        <v>24</v>
      </c>
      <c r="N19" s="34" t="s">
        <v>210</v>
      </c>
      <c r="O19" s="25" t="s">
        <v>209</v>
      </c>
    </row>
    <row r="20" spans="1:15" s="19" customFormat="1" ht="32.25" customHeight="1">
      <c r="A20" s="20">
        <v>17</v>
      </c>
      <c r="B20" s="21" t="s">
        <v>11</v>
      </c>
      <c r="C20" s="20" t="s">
        <v>12</v>
      </c>
      <c r="D20" s="20" t="s">
        <v>13</v>
      </c>
      <c r="E20" s="21" t="s">
        <v>17</v>
      </c>
      <c r="F20" s="23" t="s">
        <v>21</v>
      </c>
      <c r="G20" s="35" t="s">
        <v>60</v>
      </c>
      <c r="H20" s="36" t="s">
        <v>20</v>
      </c>
      <c r="I20" s="37">
        <v>24</v>
      </c>
      <c r="J20" s="38"/>
      <c r="K20" s="39"/>
      <c r="L20" s="40"/>
      <c r="M20" s="41"/>
      <c r="N20" s="34" t="s">
        <v>210</v>
      </c>
    </row>
    <row r="21" spans="1:15" s="19" customFormat="1" ht="32.25" customHeight="1">
      <c r="A21" s="20">
        <v>18</v>
      </c>
      <c r="B21" s="21" t="s">
        <v>11</v>
      </c>
      <c r="C21" s="20" t="s">
        <v>12</v>
      </c>
      <c r="D21" s="20" t="s">
        <v>13</v>
      </c>
      <c r="E21" s="21" t="s">
        <v>17</v>
      </c>
      <c r="F21" s="23" t="s">
        <v>21</v>
      </c>
      <c r="G21" s="35" t="s">
        <v>61</v>
      </c>
      <c r="H21" s="36" t="s">
        <v>20</v>
      </c>
      <c r="I21" s="37">
        <f>8/2</f>
        <v>4</v>
      </c>
      <c r="J21" s="38" t="s">
        <v>62</v>
      </c>
      <c r="K21" s="39" t="s">
        <v>63</v>
      </c>
      <c r="L21" s="40" t="s">
        <v>20</v>
      </c>
      <c r="M21" s="41">
        <v>8</v>
      </c>
      <c r="N21" s="34" t="s">
        <v>210</v>
      </c>
      <c r="O21" s="25" t="s">
        <v>209</v>
      </c>
    </row>
    <row r="22" spans="1:15" s="19" customFormat="1" ht="32.25" customHeight="1">
      <c r="A22" s="20">
        <v>19</v>
      </c>
      <c r="B22" s="21" t="s">
        <v>11</v>
      </c>
      <c r="C22" s="20" t="s">
        <v>12</v>
      </c>
      <c r="D22" s="20" t="s">
        <v>13</v>
      </c>
      <c r="E22" s="21" t="s">
        <v>17</v>
      </c>
      <c r="F22" s="23" t="s">
        <v>21</v>
      </c>
      <c r="G22" s="35" t="s">
        <v>64</v>
      </c>
      <c r="H22" s="36" t="s">
        <v>20</v>
      </c>
      <c r="I22" s="37">
        <f>172/2</f>
        <v>86</v>
      </c>
      <c r="J22" s="38" t="s">
        <v>65</v>
      </c>
      <c r="K22" s="39" t="s">
        <v>66</v>
      </c>
      <c r="L22" s="40" t="s">
        <v>20</v>
      </c>
      <c r="M22" s="41">
        <v>172</v>
      </c>
      <c r="N22" s="34" t="s">
        <v>210</v>
      </c>
      <c r="O22" s="25" t="s">
        <v>209</v>
      </c>
    </row>
    <row r="23" spans="1:15" s="19" customFormat="1" ht="32.25" customHeight="1">
      <c r="A23" s="20">
        <v>20</v>
      </c>
      <c r="B23" s="21" t="s">
        <v>11</v>
      </c>
      <c r="C23" s="20" t="s">
        <v>12</v>
      </c>
      <c r="D23" s="20" t="s">
        <v>13</v>
      </c>
      <c r="E23" s="21" t="s">
        <v>17</v>
      </c>
      <c r="F23" s="23" t="s">
        <v>21</v>
      </c>
      <c r="G23" s="35" t="s">
        <v>67</v>
      </c>
      <c r="H23" s="36" t="s">
        <v>20</v>
      </c>
      <c r="I23" s="37">
        <f>6/2</f>
        <v>3</v>
      </c>
      <c r="J23" s="38" t="s">
        <v>68</v>
      </c>
      <c r="K23" s="39" t="s">
        <v>69</v>
      </c>
      <c r="L23" s="40" t="s">
        <v>20</v>
      </c>
      <c r="M23" s="41">
        <v>8</v>
      </c>
      <c r="N23" s="34" t="s">
        <v>210</v>
      </c>
      <c r="O23" s="25" t="s">
        <v>209</v>
      </c>
    </row>
    <row r="24" spans="1:15" s="19" customFormat="1" ht="32.25" customHeight="1">
      <c r="A24" s="20">
        <v>21</v>
      </c>
      <c r="B24" s="21" t="s">
        <v>11</v>
      </c>
      <c r="C24" s="20" t="s">
        <v>12</v>
      </c>
      <c r="D24" s="20" t="s">
        <v>13</v>
      </c>
      <c r="E24" s="21" t="s">
        <v>17</v>
      </c>
      <c r="F24" s="23" t="s">
        <v>21</v>
      </c>
      <c r="G24" s="35" t="s">
        <v>70</v>
      </c>
      <c r="H24" s="36" t="s">
        <v>29</v>
      </c>
      <c r="I24" s="37">
        <f>42/2</f>
        <v>21</v>
      </c>
      <c r="J24" s="38" t="s">
        <v>71</v>
      </c>
      <c r="K24" s="39" t="s">
        <v>72</v>
      </c>
      <c r="L24" s="40" t="s">
        <v>20</v>
      </c>
      <c r="M24" s="41">
        <v>14</v>
      </c>
      <c r="N24" s="34" t="s">
        <v>210</v>
      </c>
      <c r="O24" s="25" t="s">
        <v>209</v>
      </c>
    </row>
    <row r="25" spans="1:15" s="19" customFormat="1" ht="32.25" customHeight="1">
      <c r="A25" s="20">
        <v>22</v>
      </c>
      <c r="B25" s="21" t="s">
        <v>11</v>
      </c>
      <c r="C25" s="20" t="s">
        <v>12</v>
      </c>
      <c r="D25" s="20" t="s">
        <v>13</v>
      </c>
      <c r="E25" s="21" t="s">
        <v>17</v>
      </c>
      <c r="F25" s="23" t="s">
        <v>21</v>
      </c>
      <c r="G25" s="35" t="s">
        <v>73</v>
      </c>
      <c r="H25" s="36" t="s">
        <v>20</v>
      </c>
      <c r="I25" s="37">
        <f>48/2</f>
        <v>24</v>
      </c>
      <c r="J25" s="38" t="s">
        <v>74</v>
      </c>
      <c r="K25" s="39" t="s">
        <v>75</v>
      </c>
      <c r="L25" s="40" t="s">
        <v>20</v>
      </c>
      <c r="M25" s="41">
        <v>48</v>
      </c>
      <c r="N25" s="34" t="s">
        <v>210</v>
      </c>
      <c r="O25" s="25" t="s">
        <v>209</v>
      </c>
    </row>
    <row r="26" spans="1:15" s="19" customFormat="1" ht="32.25" customHeight="1">
      <c r="A26" s="20">
        <v>23</v>
      </c>
      <c r="B26" s="21" t="s">
        <v>11</v>
      </c>
      <c r="C26" s="20" t="s">
        <v>12</v>
      </c>
      <c r="D26" s="20" t="s">
        <v>13</v>
      </c>
      <c r="E26" s="21" t="s">
        <v>17</v>
      </c>
      <c r="F26" s="23" t="s">
        <v>21</v>
      </c>
      <c r="G26" s="35" t="s">
        <v>76</v>
      </c>
      <c r="H26" s="36" t="s">
        <v>20</v>
      </c>
      <c r="I26" s="37">
        <f>20/2</f>
        <v>10</v>
      </c>
      <c r="J26" s="38" t="s">
        <v>77</v>
      </c>
      <c r="K26" s="39" t="s">
        <v>78</v>
      </c>
      <c r="L26" s="40" t="s">
        <v>20</v>
      </c>
      <c r="M26" s="41">
        <v>20</v>
      </c>
      <c r="N26" s="34" t="s">
        <v>210</v>
      </c>
      <c r="O26" s="25" t="s">
        <v>209</v>
      </c>
    </row>
    <row r="27" spans="1:15" s="19" customFormat="1" ht="45.75" customHeight="1">
      <c r="A27" s="20">
        <v>24</v>
      </c>
      <c r="B27" s="21" t="s">
        <v>11</v>
      </c>
      <c r="C27" s="20" t="s">
        <v>12</v>
      </c>
      <c r="D27" s="20" t="s">
        <v>13</v>
      </c>
      <c r="E27" s="21" t="s">
        <v>17</v>
      </c>
      <c r="F27" s="23" t="s">
        <v>21</v>
      </c>
      <c r="G27" s="26" t="s">
        <v>79</v>
      </c>
      <c r="H27" s="27" t="s">
        <v>29</v>
      </c>
      <c r="I27" s="28">
        <f>ROUND(15/2,0)</f>
        <v>8</v>
      </c>
      <c r="J27" s="29" t="s">
        <v>80</v>
      </c>
      <c r="K27" s="30" t="s">
        <v>81</v>
      </c>
      <c r="L27" s="31" t="s">
        <v>20</v>
      </c>
      <c r="M27" s="32">
        <v>2</v>
      </c>
      <c r="N27" s="47" t="s">
        <v>226</v>
      </c>
      <c r="O27" s="19" t="s">
        <v>227</v>
      </c>
    </row>
    <row r="28" spans="1:15" s="19" customFormat="1" ht="31.5">
      <c r="A28" s="20">
        <v>25</v>
      </c>
      <c r="B28" s="21" t="s">
        <v>11</v>
      </c>
      <c r="C28" s="20" t="s">
        <v>12</v>
      </c>
      <c r="D28" s="20" t="s">
        <v>13</v>
      </c>
      <c r="E28" s="21" t="s">
        <v>17</v>
      </c>
      <c r="F28" s="23" t="s">
        <v>21</v>
      </c>
      <c r="G28" s="35" t="s">
        <v>82</v>
      </c>
      <c r="H28" s="36" t="s">
        <v>29</v>
      </c>
      <c r="I28" s="37">
        <f>ROUND(3/2,0)</f>
        <v>2</v>
      </c>
      <c r="J28" s="38" t="s">
        <v>83</v>
      </c>
      <c r="K28" s="39" t="s">
        <v>84</v>
      </c>
      <c r="L28" s="40" t="s">
        <v>20</v>
      </c>
      <c r="M28" s="41">
        <v>3</v>
      </c>
      <c r="N28" s="34" t="s">
        <v>212</v>
      </c>
      <c r="O28" s="25" t="s">
        <v>211</v>
      </c>
    </row>
    <row r="29" spans="1:15" s="19" customFormat="1" ht="32.25" customHeight="1">
      <c r="A29" s="20">
        <v>26</v>
      </c>
      <c r="B29" s="21" t="s">
        <v>11</v>
      </c>
      <c r="C29" s="20" t="s">
        <v>12</v>
      </c>
      <c r="D29" s="20" t="s">
        <v>13</v>
      </c>
      <c r="E29" s="22" t="s">
        <v>14</v>
      </c>
      <c r="F29" s="23"/>
      <c r="G29" s="56" t="s">
        <v>85</v>
      </c>
      <c r="H29" s="57"/>
      <c r="I29" s="57"/>
      <c r="J29" s="57"/>
      <c r="K29" s="57"/>
      <c r="L29" s="57"/>
      <c r="M29" s="57"/>
      <c r="N29" s="58"/>
    </row>
    <row r="30" spans="1:15" s="19" customFormat="1" ht="63">
      <c r="A30" s="20">
        <v>27</v>
      </c>
      <c r="B30" s="21" t="s">
        <v>11</v>
      </c>
      <c r="C30" s="20" t="s">
        <v>12</v>
      </c>
      <c r="D30" s="20" t="s">
        <v>13</v>
      </c>
      <c r="E30" s="21" t="s">
        <v>17</v>
      </c>
      <c r="F30" s="23" t="s">
        <v>21</v>
      </c>
      <c r="G30" s="35" t="s">
        <v>86</v>
      </c>
      <c r="H30" s="36" t="s">
        <v>20</v>
      </c>
      <c r="I30" s="37">
        <f>ROUND(148/3/2,0)</f>
        <v>25</v>
      </c>
      <c r="J30" s="38" t="s">
        <v>87</v>
      </c>
      <c r="K30" s="39" t="s">
        <v>88</v>
      </c>
      <c r="L30" s="40" t="s">
        <v>89</v>
      </c>
      <c r="M30" s="41">
        <v>50</v>
      </c>
      <c r="N30" s="34" t="s">
        <v>210</v>
      </c>
      <c r="O30" s="25" t="s">
        <v>209</v>
      </c>
    </row>
    <row r="31" spans="1:15" s="19" customFormat="1" ht="47.25">
      <c r="A31" s="20">
        <v>28</v>
      </c>
      <c r="B31" s="21" t="s">
        <v>11</v>
      </c>
      <c r="C31" s="20" t="s">
        <v>12</v>
      </c>
      <c r="D31" s="20" t="s">
        <v>13</v>
      </c>
      <c r="E31" s="21" t="s">
        <v>17</v>
      </c>
      <c r="F31" s="23" t="s">
        <v>21</v>
      </c>
      <c r="G31" s="35" t="s">
        <v>90</v>
      </c>
      <c r="H31" s="36" t="s">
        <v>20</v>
      </c>
      <c r="I31" s="37">
        <f>396/2</f>
        <v>198</v>
      </c>
      <c r="J31" s="38" t="s">
        <v>91</v>
      </c>
      <c r="K31" s="39" t="s">
        <v>92</v>
      </c>
      <c r="L31" s="40" t="s">
        <v>20</v>
      </c>
      <c r="M31" s="41">
        <v>396</v>
      </c>
      <c r="N31" s="34" t="s">
        <v>210</v>
      </c>
      <c r="O31" s="25" t="s">
        <v>209</v>
      </c>
    </row>
    <row r="32" spans="1:15" s="19" customFormat="1" ht="32.25" customHeight="1">
      <c r="A32" s="20">
        <v>29</v>
      </c>
      <c r="B32" s="21" t="s">
        <v>11</v>
      </c>
      <c r="C32" s="20" t="s">
        <v>12</v>
      </c>
      <c r="D32" s="20" t="s">
        <v>13</v>
      </c>
      <c r="E32" s="22" t="s">
        <v>14</v>
      </c>
      <c r="F32" s="23"/>
      <c r="G32" s="50" t="s">
        <v>93</v>
      </c>
      <c r="H32" s="51"/>
      <c r="I32" s="51"/>
      <c r="J32" s="51"/>
      <c r="K32" s="51"/>
      <c r="L32" s="51"/>
      <c r="M32" s="51"/>
      <c r="N32" s="52"/>
    </row>
    <row r="33" spans="1:14" s="19" customFormat="1" ht="32.25" customHeight="1">
      <c r="A33" s="20">
        <v>30</v>
      </c>
      <c r="B33" s="21" t="s">
        <v>11</v>
      </c>
      <c r="C33" s="20" t="s">
        <v>12</v>
      </c>
      <c r="D33" s="20" t="s">
        <v>13</v>
      </c>
      <c r="E33" s="21" t="s">
        <v>17</v>
      </c>
      <c r="F33" s="23" t="s">
        <v>18</v>
      </c>
      <c r="G33" s="26" t="s">
        <v>94</v>
      </c>
      <c r="H33" s="27" t="s">
        <v>20</v>
      </c>
      <c r="I33" s="28">
        <f>2/2</f>
        <v>1</v>
      </c>
      <c r="J33" s="29"/>
      <c r="K33" s="30"/>
      <c r="L33" s="31"/>
      <c r="M33" s="32"/>
      <c r="N33" s="47"/>
    </row>
    <row r="34" spans="1:14" s="19" customFormat="1" ht="32.25" customHeight="1">
      <c r="A34" s="20">
        <v>31</v>
      </c>
      <c r="B34" s="21" t="s">
        <v>11</v>
      </c>
      <c r="C34" s="20" t="s">
        <v>12</v>
      </c>
      <c r="D34" s="20" t="s">
        <v>13</v>
      </c>
      <c r="E34" s="21" t="s">
        <v>17</v>
      </c>
      <c r="F34" s="23" t="s">
        <v>18</v>
      </c>
      <c r="G34" s="26" t="s">
        <v>95</v>
      </c>
      <c r="H34" s="27" t="s">
        <v>20</v>
      </c>
      <c r="I34" s="28">
        <f>4/2</f>
        <v>2</v>
      </c>
      <c r="J34" s="29"/>
      <c r="K34" s="30"/>
      <c r="L34" s="31"/>
      <c r="M34" s="32"/>
      <c r="N34" s="47"/>
    </row>
    <row r="35" spans="1:14" s="19" customFormat="1" ht="32.25" customHeight="1">
      <c r="A35" s="20">
        <v>32</v>
      </c>
      <c r="B35" s="21" t="s">
        <v>11</v>
      </c>
      <c r="C35" s="20" t="s">
        <v>12</v>
      </c>
      <c r="D35" s="20" t="s">
        <v>13</v>
      </c>
      <c r="E35" s="21" t="s">
        <v>17</v>
      </c>
      <c r="F35" s="23" t="s">
        <v>18</v>
      </c>
      <c r="G35" s="26" t="s">
        <v>96</v>
      </c>
      <c r="H35" s="27" t="s">
        <v>20</v>
      </c>
      <c r="I35" s="28">
        <f>ROUND(7/2,0)</f>
        <v>4</v>
      </c>
      <c r="J35" s="29"/>
      <c r="K35" s="30"/>
      <c r="L35" s="31"/>
      <c r="M35" s="32"/>
      <c r="N35" s="47"/>
    </row>
    <row r="36" spans="1:14" s="19" customFormat="1" ht="32.25" customHeight="1">
      <c r="A36" s="20">
        <v>33</v>
      </c>
      <c r="B36" s="21" t="s">
        <v>11</v>
      </c>
      <c r="C36" s="20" t="s">
        <v>12</v>
      </c>
      <c r="D36" s="20" t="s">
        <v>13</v>
      </c>
      <c r="E36" s="21" t="s">
        <v>17</v>
      </c>
      <c r="F36" s="23" t="s">
        <v>18</v>
      </c>
      <c r="G36" s="26" t="s">
        <v>97</v>
      </c>
      <c r="H36" s="27" t="s">
        <v>20</v>
      </c>
      <c r="I36" s="28">
        <f t="shared" ref="I36:I37" si="1">2/2</f>
        <v>1</v>
      </c>
      <c r="J36" s="29"/>
      <c r="K36" s="30"/>
      <c r="L36" s="31"/>
      <c r="M36" s="32"/>
      <c r="N36" s="47"/>
    </row>
    <row r="37" spans="1:14" s="19" customFormat="1" ht="32.25" customHeight="1">
      <c r="A37" s="20">
        <v>34</v>
      </c>
      <c r="B37" s="21" t="s">
        <v>11</v>
      </c>
      <c r="C37" s="20" t="s">
        <v>12</v>
      </c>
      <c r="D37" s="20" t="s">
        <v>13</v>
      </c>
      <c r="E37" s="21" t="s">
        <v>17</v>
      </c>
      <c r="F37" s="23" t="s">
        <v>18</v>
      </c>
      <c r="G37" s="26" t="s">
        <v>98</v>
      </c>
      <c r="H37" s="27" t="s">
        <v>20</v>
      </c>
      <c r="I37" s="28">
        <f t="shared" si="1"/>
        <v>1</v>
      </c>
      <c r="J37" s="29"/>
      <c r="K37" s="30"/>
      <c r="L37" s="31"/>
      <c r="M37" s="32"/>
      <c r="N37" s="47"/>
    </row>
    <row r="38" spans="1:14" s="19" customFormat="1" ht="32.25" customHeight="1">
      <c r="A38" s="20">
        <v>35</v>
      </c>
      <c r="B38" s="21" t="s">
        <v>11</v>
      </c>
      <c r="C38" s="20" t="s">
        <v>12</v>
      </c>
      <c r="D38" s="20" t="s">
        <v>13</v>
      </c>
      <c r="E38" s="21" t="s">
        <v>17</v>
      </c>
      <c r="F38" s="23" t="s">
        <v>18</v>
      </c>
      <c r="G38" s="26" t="s">
        <v>99</v>
      </c>
      <c r="H38" s="27" t="s">
        <v>20</v>
      </c>
      <c r="I38" s="28">
        <f>4/2</f>
        <v>2</v>
      </c>
      <c r="J38" s="29"/>
      <c r="K38" s="30"/>
      <c r="L38" s="31"/>
      <c r="M38" s="32"/>
      <c r="N38" s="47"/>
    </row>
    <row r="39" spans="1:14" s="19" customFormat="1" ht="32.25" customHeight="1">
      <c r="A39" s="20">
        <v>36</v>
      </c>
      <c r="B39" s="21" t="s">
        <v>11</v>
      </c>
      <c r="C39" s="20" t="s">
        <v>12</v>
      </c>
      <c r="D39" s="20" t="s">
        <v>13</v>
      </c>
      <c r="E39" s="21" t="s">
        <v>17</v>
      </c>
      <c r="F39" s="23" t="s">
        <v>18</v>
      </c>
      <c r="G39" s="26" t="s">
        <v>100</v>
      </c>
      <c r="H39" s="27" t="s">
        <v>20</v>
      </c>
      <c r="I39" s="28">
        <f>8/2</f>
        <v>4</v>
      </c>
      <c r="J39" s="29"/>
      <c r="K39" s="30"/>
      <c r="L39" s="31"/>
      <c r="M39" s="32"/>
      <c r="N39" s="47"/>
    </row>
    <row r="40" spans="1:14" s="19" customFormat="1" ht="32.25" customHeight="1">
      <c r="A40" s="20">
        <v>37</v>
      </c>
      <c r="B40" s="21" t="s">
        <v>11</v>
      </c>
      <c r="C40" s="20" t="s">
        <v>12</v>
      </c>
      <c r="D40" s="20" t="s">
        <v>13</v>
      </c>
      <c r="E40" s="21" t="s">
        <v>17</v>
      </c>
      <c r="F40" s="23" t="s">
        <v>18</v>
      </c>
      <c r="G40" s="26" t="s">
        <v>101</v>
      </c>
      <c r="H40" s="27" t="s">
        <v>20</v>
      </c>
      <c r="I40" s="28">
        <f>2/2</f>
        <v>1</v>
      </c>
      <c r="J40" s="29"/>
      <c r="K40" s="30"/>
      <c r="L40" s="31"/>
      <c r="M40" s="32"/>
      <c r="N40" s="47"/>
    </row>
    <row r="41" spans="1:14" s="19" customFormat="1" ht="31.5">
      <c r="A41" s="20">
        <v>38</v>
      </c>
      <c r="B41" s="21" t="s">
        <v>11</v>
      </c>
      <c r="C41" s="20" t="s">
        <v>12</v>
      </c>
      <c r="D41" s="20" t="s">
        <v>13</v>
      </c>
      <c r="E41" s="21" t="s">
        <v>17</v>
      </c>
      <c r="F41" s="23" t="s">
        <v>21</v>
      </c>
      <c r="G41" s="35" t="s">
        <v>22</v>
      </c>
      <c r="H41" s="36" t="s">
        <v>20</v>
      </c>
      <c r="I41" s="37">
        <f>ROUND(8.8*I32,0)</f>
        <v>0</v>
      </c>
      <c r="J41" s="38" t="s">
        <v>23</v>
      </c>
      <c r="K41" s="39" t="s">
        <v>24</v>
      </c>
      <c r="L41" s="40"/>
      <c r="M41" s="41"/>
      <c r="N41" s="34" t="s">
        <v>217</v>
      </c>
    </row>
    <row r="42" spans="1:14" s="19" customFormat="1" ht="31.5">
      <c r="A42" s="20">
        <v>39</v>
      </c>
      <c r="B42" s="21" t="s">
        <v>11</v>
      </c>
      <c r="C42" s="20" t="s">
        <v>12</v>
      </c>
      <c r="D42" s="20" t="s">
        <v>13</v>
      </c>
      <c r="E42" s="21" t="s">
        <v>17</v>
      </c>
      <c r="F42" s="23" t="s">
        <v>21</v>
      </c>
      <c r="G42" s="35" t="s">
        <v>25</v>
      </c>
      <c r="H42" s="36" t="s">
        <v>20</v>
      </c>
      <c r="I42" s="37">
        <f>ROUND(3.3*I33,0)</f>
        <v>3</v>
      </c>
      <c r="J42" s="38" t="s">
        <v>26</v>
      </c>
      <c r="K42" s="39" t="s">
        <v>27</v>
      </c>
      <c r="L42" s="40"/>
      <c r="M42" s="41"/>
      <c r="N42" s="34" t="s">
        <v>217</v>
      </c>
    </row>
    <row r="43" spans="1:14" s="19" customFormat="1" ht="32.25" customHeight="1">
      <c r="A43" s="20">
        <v>40</v>
      </c>
      <c r="B43" s="21" t="s">
        <v>11</v>
      </c>
      <c r="C43" s="20" t="s">
        <v>12</v>
      </c>
      <c r="D43" s="20" t="s">
        <v>13</v>
      </c>
      <c r="E43" s="22" t="s">
        <v>14</v>
      </c>
      <c r="F43" s="23"/>
      <c r="G43" s="50" t="s">
        <v>102</v>
      </c>
      <c r="H43" s="51"/>
      <c r="I43" s="51"/>
      <c r="J43" s="51"/>
      <c r="K43" s="51"/>
      <c r="L43" s="51"/>
      <c r="M43" s="51"/>
      <c r="N43" s="52"/>
    </row>
    <row r="44" spans="1:14" s="19" customFormat="1" ht="32.25" customHeight="1">
      <c r="A44" s="20">
        <v>41</v>
      </c>
      <c r="B44" s="21" t="s">
        <v>11</v>
      </c>
      <c r="C44" s="20" t="s">
        <v>12</v>
      </c>
      <c r="D44" s="20" t="s">
        <v>13</v>
      </c>
      <c r="E44" s="21" t="s">
        <v>17</v>
      </c>
      <c r="F44" s="23" t="s">
        <v>18</v>
      </c>
      <c r="G44" s="35" t="s">
        <v>103</v>
      </c>
      <c r="H44" s="36" t="s">
        <v>20</v>
      </c>
      <c r="I44" s="37">
        <f>12/2</f>
        <v>6</v>
      </c>
      <c r="J44" s="38"/>
      <c r="K44" s="39"/>
      <c r="L44" s="40"/>
      <c r="M44" s="41"/>
      <c r="N44" s="34" t="s">
        <v>215</v>
      </c>
    </row>
    <row r="45" spans="1:14" s="19" customFormat="1" ht="32.25" customHeight="1">
      <c r="A45" s="20">
        <v>42</v>
      </c>
      <c r="B45" s="21" t="s">
        <v>11</v>
      </c>
      <c r="C45" s="20" t="s">
        <v>12</v>
      </c>
      <c r="D45" s="20" t="s">
        <v>13</v>
      </c>
      <c r="E45" s="21" t="s">
        <v>17</v>
      </c>
      <c r="F45" s="23" t="s">
        <v>18</v>
      </c>
      <c r="G45" s="35" t="s">
        <v>104</v>
      </c>
      <c r="H45" s="36" t="s">
        <v>20</v>
      </c>
      <c r="I45" s="37">
        <f>ROUND(43/2,0)</f>
        <v>22</v>
      </c>
      <c r="J45" s="38"/>
      <c r="K45" s="39"/>
      <c r="L45" s="40"/>
      <c r="M45" s="41"/>
      <c r="N45" s="34" t="s">
        <v>215</v>
      </c>
    </row>
    <row r="46" spans="1:14" s="19" customFormat="1" ht="32.25" customHeight="1">
      <c r="A46" s="20">
        <v>43</v>
      </c>
      <c r="B46" s="21" t="s">
        <v>11</v>
      </c>
      <c r="C46" s="20" t="s">
        <v>12</v>
      </c>
      <c r="D46" s="20" t="s">
        <v>13</v>
      </c>
      <c r="E46" s="21" t="s">
        <v>17</v>
      </c>
      <c r="F46" s="23" t="s">
        <v>18</v>
      </c>
      <c r="G46" s="35" t="s">
        <v>105</v>
      </c>
      <c r="H46" s="36" t="s">
        <v>20</v>
      </c>
      <c r="I46" s="37">
        <f>12/2</f>
        <v>6</v>
      </c>
      <c r="J46" s="38"/>
      <c r="K46" s="39"/>
      <c r="L46" s="40"/>
      <c r="M46" s="41"/>
      <c r="N46" s="34" t="s">
        <v>215</v>
      </c>
    </row>
    <row r="47" spans="1:14" s="19" customFormat="1" ht="32.25" customHeight="1">
      <c r="A47" s="20">
        <v>44</v>
      </c>
      <c r="B47" s="21" t="s">
        <v>11</v>
      </c>
      <c r="C47" s="20" t="s">
        <v>12</v>
      </c>
      <c r="D47" s="20" t="s">
        <v>13</v>
      </c>
      <c r="E47" s="21" t="s">
        <v>17</v>
      </c>
      <c r="F47" s="23" t="s">
        <v>18</v>
      </c>
      <c r="G47" s="35" t="s">
        <v>106</v>
      </c>
      <c r="H47" s="36" t="s">
        <v>20</v>
      </c>
      <c r="I47" s="37">
        <f>42/2</f>
        <v>21</v>
      </c>
      <c r="J47" s="38"/>
      <c r="K47" s="39"/>
      <c r="L47" s="40"/>
      <c r="M47" s="41"/>
      <c r="N47" s="34" t="s">
        <v>215</v>
      </c>
    </row>
    <row r="48" spans="1:14" s="19" customFormat="1" ht="32.25" customHeight="1">
      <c r="A48" s="20">
        <v>45</v>
      </c>
      <c r="B48" s="21" t="s">
        <v>11</v>
      </c>
      <c r="C48" s="20" t="s">
        <v>12</v>
      </c>
      <c r="D48" s="20" t="s">
        <v>13</v>
      </c>
      <c r="E48" s="21" t="s">
        <v>17</v>
      </c>
      <c r="F48" s="23" t="s">
        <v>18</v>
      </c>
      <c r="G48" s="35" t="s">
        <v>107</v>
      </c>
      <c r="H48" s="36" t="s">
        <v>20</v>
      </c>
      <c r="I48" s="37">
        <f>12/2</f>
        <v>6</v>
      </c>
      <c r="J48" s="38"/>
      <c r="K48" s="39"/>
      <c r="L48" s="40"/>
      <c r="M48" s="41"/>
      <c r="N48" s="34" t="s">
        <v>215</v>
      </c>
    </row>
    <row r="49" spans="1:15" s="19" customFormat="1" ht="66" customHeight="1">
      <c r="A49" s="20">
        <v>46</v>
      </c>
      <c r="B49" s="21" t="s">
        <v>11</v>
      </c>
      <c r="C49" s="20" t="s">
        <v>12</v>
      </c>
      <c r="D49" s="20" t="s">
        <v>13</v>
      </c>
      <c r="E49" s="21" t="s">
        <v>17</v>
      </c>
      <c r="F49" s="23" t="s">
        <v>21</v>
      </c>
      <c r="G49" s="35" t="s">
        <v>22</v>
      </c>
      <c r="H49" s="36" t="s">
        <v>20</v>
      </c>
      <c r="I49" s="37">
        <f>ROUND(4.4*I43,0)</f>
        <v>0</v>
      </c>
      <c r="J49" s="38" t="s">
        <v>23</v>
      </c>
      <c r="K49" s="39" t="s">
        <v>24</v>
      </c>
      <c r="L49" s="40"/>
      <c r="M49" s="41"/>
      <c r="N49" s="34" t="s">
        <v>217</v>
      </c>
    </row>
    <row r="50" spans="1:15" s="19" customFormat="1" ht="62.25" customHeight="1">
      <c r="A50" s="20">
        <v>47</v>
      </c>
      <c r="B50" s="21" t="s">
        <v>11</v>
      </c>
      <c r="C50" s="20" t="s">
        <v>12</v>
      </c>
      <c r="D50" s="20" t="s">
        <v>13</v>
      </c>
      <c r="E50" s="21" t="s">
        <v>17</v>
      </c>
      <c r="F50" s="23" t="s">
        <v>21</v>
      </c>
      <c r="G50" s="35" t="s">
        <v>25</v>
      </c>
      <c r="H50" s="36" t="s">
        <v>20</v>
      </c>
      <c r="I50" s="37">
        <f>ROUND(3.3*I43,0)</f>
        <v>0</v>
      </c>
      <c r="J50" s="38" t="s">
        <v>26</v>
      </c>
      <c r="K50" s="39" t="s">
        <v>27</v>
      </c>
      <c r="L50" s="40"/>
      <c r="M50" s="41"/>
      <c r="N50" s="34" t="s">
        <v>217</v>
      </c>
    </row>
    <row r="51" spans="1:15" s="19" customFormat="1" ht="32.25" customHeight="1">
      <c r="A51" s="20">
        <v>48</v>
      </c>
      <c r="B51" s="21" t="s">
        <v>11</v>
      </c>
      <c r="C51" s="20" t="s">
        <v>12</v>
      </c>
      <c r="D51" s="20" t="s">
        <v>13</v>
      </c>
      <c r="E51" s="21" t="s">
        <v>17</v>
      </c>
      <c r="F51" s="23" t="s">
        <v>21</v>
      </c>
      <c r="G51" s="35" t="s">
        <v>108</v>
      </c>
      <c r="H51" s="36" t="s">
        <v>29</v>
      </c>
      <c r="I51" s="37">
        <f>5.4/2</f>
        <v>2.7</v>
      </c>
      <c r="J51" s="38" t="s">
        <v>109</v>
      </c>
      <c r="K51" s="39" t="s">
        <v>110</v>
      </c>
      <c r="L51" s="40" t="s">
        <v>38</v>
      </c>
      <c r="M51" s="41">
        <v>7.5</v>
      </c>
      <c r="N51" s="34" t="s">
        <v>214</v>
      </c>
    </row>
    <row r="52" spans="1:15" s="19" customFormat="1" ht="32.25" customHeight="1">
      <c r="A52" s="20">
        <v>49</v>
      </c>
      <c r="B52" s="21" t="s">
        <v>11</v>
      </c>
      <c r="C52" s="20" t="s">
        <v>12</v>
      </c>
      <c r="D52" s="20" t="s">
        <v>13</v>
      </c>
      <c r="E52" s="21" t="s">
        <v>17</v>
      </c>
      <c r="F52" s="23" t="s">
        <v>21</v>
      </c>
      <c r="G52" s="35" t="s">
        <v>111</v>
      </c>
      <c r="H52" s="36" t="s">
        <v>29</v>
      </c>
      <c r="I52" s="37">
        <f>335/2</f>
        <v>167.5</v>
      </c>
      <c r="J52" s="38" t="s">
        <v>112</v>
      </c>
      <c r="K52" s="39" t="s">
        <v>113</v>
      </c>
      <c r="L52" s="40" t="s">
        <v>38</v>
      </c>
      <c r="M52" s="41">
        <v>335</v>
      </c>
      <c r="N52" s="34" t="s">
        <v>214</v>
      </c>
    </row>
    <row r="53" spans="1:15" s="19" customFormat="1" ht="53.25" customHeight="1">
      <c r="A53" s="20">
        <v>50</v>
      </c>
      <c r="B53" s="21" t="s">
        <v>11</v>
      </c>
      <c r="C53" s="20" t="s">
        <v>12</v>
      </c>
      <c r="D53" s="20" t="s">
        <v>13</v>
      </c>
      <c r="E53" s="21" t="s">
        <v>17</v>
      </c>
      <c r="F53" s="23" t="s">
        <v>21</v>
      </c>
      <c r="G53" s="35" t="s">
        <v>55</v>
      </c>
      <c r="H53" s="36" t="s">
        <v>20</v>
      </c>
      <c r="I53" s="37">
        <f>+ROUND(1797/2,0)</f>
        <v>899</v>
      </c>
      <c r="J53" s="38" t="s">
        <v>26</v>
      </c>
      <c r="K53" s="39" t="s">
        <v>27</v>
      </c>
      <c r="L53" s="40"/>
      <c r="M53" s="41"/>
      <c r="N53" s="34" t="s">
        <v>217</v>
      </c>
    </row>
    <row r="54" spans="1:15" s="19" customFormat="1" ht="32.25" customHeight="1">
      <c r="A54" s="20">
        <v>51</v>
      </c>
      <c r="B54" s="21" t="s">
        <v>11</v>
      </c>
      <c r="C54" s="20" t="s">
        <v>12</v>
      </c>
      <c r="D54" s="20" t="s">
        <v>13</v>
      </c>
      <c r="E54" s="22" t="s">
        <v>14</v>
      </c>
      <c r="F54" s="23"/>
      <c r="G54" s="56" t="s">
        <v>114</v>
      </c>
      <c r="H54" s="57"/>
      <c r="I54" s="57"/>
      <c r="J54" s="57"/>
      <c r="K54" s="57"/>
      <c r="L54" s="57"/>
      <c r="M54" s="57"/>
      <c r="N54" s="58"/>
    </row>
    <row r="55" spans="1:15" s="19" customFormat="1" ht="32.25" customHeight="1">
      <c r="A55" s="20">
        <v>52</v>
      </c>
      <c r="B55" s="21" t="s">
        <v>11</v>
      </c>
      <c r="C55" s="20" t="s">
        <v>12</v>
      </c>
      <c r="D55" s="20" t="s">
        <v>13</v>
      </c>
      <c r="E55" s="21" t="s">
        <v>17</v>
      </c>
      <c r="F55" s="23" t="s">
        <v>21</v>
      </c>
      <c r="G55" s="35" t="s">
        <v>115</v>
      </c>
      <c r="H55" s="36" t="s">
        <v>29</v>
      </c>
      <c r="I55" s="37">
        <f>5.4/2</f>
        <v>2.7</v>
      </c>
      <c r="J55" s="38" t="s">
        <v>116</v>
      </c>
      <c r="K55" s="39" t="s">
        <v>117</v>
      </c>
      <c r="L55" s="40" t="s">
        <v>38</v>
      </c>
      <c r="M55" s="41">
        <v>7.5</v>
      </c>
      <c r="N55" s="34" t="s">
        <v>214</v>
      </c>
      <c r="O55" s="25" t="s">
        <v>213</v>
      </c>
    </row>
    <row r="56" spans="1:15" s="19" customFormat="1" ht="32.25" customHeight="1">
      <c r="A56" s="20">
        <v>53</v>
      </c>
      <c r="B56" s="21" t="s">
        <v>11</v>
      </c>
      <c r="C56" s="20" t="s">
        <v>12</v>
      </c>
      <c r="D56" s="20" t="s">
        <v>13</v>
      </c>
      <c r="E56" s="21" t="s">
        <v>17</v>
      </c>
      <c r="F56" s="23" t="s">
        <v>21</v>
      </c>
      <c r="G56" s="35" t="s">
        <v>118</v>
      </c>
      <c r="H56" s="36" t="s">
        <v>29</v>
      </c>
      <c r="I56" s="37">
        <f t="shared" ref="I56:I57" si="2">10.8/2</f>
        <v>5.4</v>
      </c>
      <c r="J56" s="38"/>
      <c r="K56" s="39"/>
      <c r="L56" s="40"/>
      <c r="M56" s="41"/>
      <c r="N56" s="34" t="s">
        <v>214</v>
      </c>
    </row>
    <row r="57" spans="1:15" s="19" customFormat="1" ht="32.25" customHeight="1">
      <c r="A57" s="20">
        <v>54</v>
      </c>
      <c r="B57" s="21" t="s">
        <v>11</v>
      </c>
      <c r="C57" s="20" t="s">
        <v>12</v>
      </c>
      <c r="D57" s="20" t="s">
        <v>13</v>
      </c>
      <c r="E57" s="21" t="s">
        <v>17</v>
      </c>
      <c r="F57" s="23" t="s">
        <v>21</v>
      </c>
      <c r="G57" s="35" t="s">
        <v>119</v>
      </c>
      <c r="H57" s="36" t="s">
        <v>29</v>
      </c>
      <c r="I57" s="37">
        <f t="shared" si="2"/>
        <v>5.4</v>
      </c>
      <c r="J57" s="38"/>
      <c r="K57" s="39"/>
      <c r="L57" s="40"/>
      <c r="M57" s="41"/>
      <c r="N57" s="34" t="s">
        <v>218</v>
      </c>
    </row>
    <row r="58" spans="1:15" s="19" customFormat="1" ht="32.25" customHeight="1">
      <c r="A58" s="20">
        <v>55</v>
      </c>
      <c r="B58" s="21" t="s">
        <v>11</v>
      </c>
      <c r="C58" s="20" t="s">
        <v>12</v>
      </c>
      <c r="D58" s="20" t="s">
        <v>13</v>
      </c>
      <c r="E58" s="21" t="s">
        <v>17</v>
      </c>
      <c r="F58" s="23" t="s">
        <v>21</v>
      </c>
      <c r="G58" s="35" t="s">
        <v>120</v>
      </c>
      <c r="H58" s="36" t="s">
        <v>29</v>
      </c>
      <c r="I58" s="37">
        <f t="shared" ref="I58:I59" si="3">29.6/2</f>
        <v>14.8</v>
      </c>
      <c r="J58" s="38"/>
      <c r="K58" s="39"/>
      <c r="L58" s="40"/>
      <c r="M58" s="41"/>
      <c r="N58" s="34" t="s">
        <v>218</v>
      </c>
    </row>
    <row r="59" spans="1:15" s="19" customFormat="1" ht="32.25" customHeight="1">
      <c r="A59" s="20">
        <v>56</v>
      </c>
      <c r="B59" s="21" t="s">
        <v>11</v>
      </c>
      <c r="C59" s="20" t="s">
        <v>12</v>
      </c>
      <c r="D59" s="20" t="s">
        <v>13</v>
      </c>
      <c r="E59" s="21" t="s">
        <v>17</v>
      </c>
      <c r="F59" s="23" t="s">
        <v>21</v>
      </c>
      <c r="G59" s="26" t="s">
        <v>121</v>
      </c>
      <c r="H59" s="27" t="s">
        <v>29</v>
      </c>
      <c r="I59" s="28">
        <f t="shared" si="3"/>
        <v>14.8</v>
      </c>
      <c r="J59" s="29"/>
      <c r="K59" s="30"/>
      <c r="L59" s="31"/>
      <c r="M59" s="32"/>
      <c r="N59" s="47"/>
    </row>
    <row r="60" spans="1:15" s="19" customFormat="1" ht="31.5">
      <c r="A60" s="20">
        <v>57</v>
      </c>
      <c r="B60" s="21" t="s">
        <v>11</v>
      </c>
      <c r="C60" s="20" t="s">
        <v>12</v>
      </c>
      <c r="D60" s="20" t="s">
        <v>13</v>
      </c>
      <c r="E60" s="21" t="s">
        <v>17</v>
      </c>
      <c r="F60" s="23" t="s">
        <v>21</v>
      </c>
      <c r="G60" s="35" t="s">
        <v>54</v>
      </c>
      <c r="H60" s="36" t="s">
        <v>20</v>
      </c>
      <c r="I60" s="37">
        <f>+ROUND(76/2,0)</f>
        <v>38</v>
      </c>
      <c r="J60" s="38" t="s">
        <v>23</v>
      </c>
      <c r="K60" s="39" t="s">
        <v>24</v>
      </c>
      <c r="L60" s="40"/>
      <c r="M60" s="41"/>
      <c r="N60" s="34" t="s">
        <v>217</v>
      </c>
    </row>
    <row r="61" spans="1:15" s="19" customFormat="1" ht="31.5">
      <c r="A61" s="20">
        <v>58</v>
      </c>
      <c r="B61" s="21" t="s">
        <v>11</v>
      </c>
      <c r="C61" s="20" t="s">
        <v>12</v>
      </c>
      <c r="D61" s="20" t="s">
        <v>13</v>
      </c>
      <c r="E61" s="21" t="s">
        <v>17</v>
      </c>
      <c r="F61" s="23" t="s">
        <v>21</v>
      </c>
      <c r="G61" s="35" t="s">
        <v>55</v>
      </c>
      <c r="H61" s="36" t="s">
        <v>20</v>
      </c>
      <c r="I61" s="37">
        <f>+ROUND(416/2,0)</f>
        <v>208</v>
      </c>
      <c r="J61" s="38" t="s">
        <v>26</v>
      </c>
      <c r="K61" s="39" t="s">
        <v>27</v>
      </c>
      <c r="L61" s="40"/>
      <c r="M61" s="41"/>
      <c r="N61" s="34" t="s">
        <v>217</v>
      </c>
    </row>
    <row r="62" spans="1:15" s="19" customFormat="1" ht="78.75">
      <c r="A62" s="20">
        <v>59</v>
      </c>
      <c r="B62" s="21" t="s">
        <v>11</v>
      </c>
      <c r="C62" s="20" t="s">
        <v>12</v>
      </c>
      <c r="D62" s="20" t="s">
        <v>13</v>
      </c>
      <c r="E62" s="21" t="s">
        <v>17</v>
      </c>
      <c r="F62" s="23" t="s">
        <v>21</v>
      </c>
      <c r="G62" s="26" t="s">
        <v>79</v>
      </c>
      <c r="H62" s="27" t="s">
        <v>29</v>
      </c>
      <c r="I62" s="28">
        <v>5</v>
      </c>
      <c r="J62" s="29" t="s">
        <v>80</v>
      </c>
      <c r="K62" s="30" t="s">
        <v>81</v>
      </c>
      <c r="L62" s="31"/>
      <c r="M62" s="32"/>
      <c r="N62" s="47"/>
    </row>
    <row r="63" spans="1:15" s="19" customFormat="1" ht="48.75" customHeight="1">
      <c r="A63" s="20">
        <v>60</v>
      </c>
      <c r="B63" s="21" t="s">
        <v>11</v>
      </c>
      <c r="C63" s="20" t="s">
        <v>12</v>
      </c>
      <c r="D63" s="20" t="s">
        <v>13</v>
      </c>
      <c r="E63" s="21" t="s">
        <v>17</v>
      </c>
      <c r="F63" s="23" t="s">
        <v>21</v>
      </c>
      <c r="G63" s="35" t="s">
        <v>82</v>
      </c>
      <c r="H63" s="36" t="s">
        <v>29</v>
      </c>
      <c r="I63" s="37">
        <v>5</v>
      </c>
      <c r="J63" s="38" t="s">
        <v>83</v>
      </c>
      <c r="K63" s="39" t="s">
        <v>84</v>
      </c>
      <c r="L63" s="40"/>
      <c r="M63" s="41"/>
      <c r="N63" s="34" t="s">
        <v>212</v>
      </c>
      <c r="O63" s="25" t="s">
        <v>211</v>
      </c>
    </row>
    <row r="64" spans="1:15" s="19" customFormat="1" ht="32.25" customHeight="1">
      <c r="A64" s="20">
        <v>61</v>
      </c>
      <c r="B64" s="21" t="s">
        <v>122</v>
      </c>
      <c r="C64" s="20" t="s">
        <v>123</v>
      </c>
      <c r="D64" s="20" t="s">
        <v>124</v>
      </c>
      <c r="E64" s="22" t="s">
        <v>14</v>
      </c>
      <c r="F64" s="23"/>
      <c r="G64" s="50" t="s">
        <v>125</v>
      </c>
      <c r="H64" s="51"/>
      <c r="I64" s="51"/>
      <c r="J64" s="51"/>
      <c r="K64" s="51"/>
      <c r="L64" s="51"/>
      <c r="M64" s="51"/>
      <c r="N64" s="52"/>
    </row>
    <row r="65" spans="1:15" s="19" customFormat="1" ht="63.75" customHeight="1">
      <c r="A65" s="20">
        <v>62</v>
      </c>
      <c r="B65" s="21" t="s">
        <v>122</v>
      </c>
      <c r="C65" s="20" t="s">
        <v>123</v>
      </c>
      <c r="D65" s="20" t="s">
        <v>124</v>
      </c>
      <c r="E65" s="21" t="s">
        <v>17</v>
      </c>
      <c r="F65" s="23" t="s">
        <v>21</v>
      </c>
      <c r="G65" s="43" t="s">
        <v>126</v>
      </c>
      <c r="H65" s="36" t="s">
        <v>16</v>
      </c>
      <c r="I65" s="37">
        <v>77.2</v>
      </c>
      <c r="J65" s="38" t="s">
        <v>127</v>
      </c>
      <c r="K65" s="39" t="s">
        <v>128</v>
      </c>
      <c r="L65" s="40" t="s">
        <v>16</v>
      </c>
      <c r="M65" s="41">
        <v>77.22</v>
      </c>
      <c r="N65" s="34" t="s">
        <v>224</v>
      </c>
    </row>
    <row r="66" spans="1:15" s="19" customFormat="1" ht="150">
      <c r="A66" s="20">
        <v>63</v>
      </c>
      <c r="B66" s="21" t="s">
        <v>122</v>
      </c>
      <c r="C66" s="20" t="s">
        <v>123</v>
      </c>
      <c r="D66" s="20" t="s">
        <v>124</v>
      </c>
      <c r="E66" s="21" t="s">
        <v>17</v>
      </c>
      <c r="F66" s="23" t="s">
        <v>21</v>
      </c>
      <c r="G66" s="42" t="s">
        <v>129</v>
      </c>
      <c r="H66" s="36" t="s">
        <v>20</v>
      </c>
      <c r="I66" s="37">
        <v>232</v>
      </c>
      <c r="J66" s="38"/>
      <c r="K66" s="39"/>
      <c r="L66" s="40"/>
      <c r="M66" s="41"/>
      <c r="N66" s="34" t="s">
        <v>205</v>
      </c>
      <c r="O66" s="25" t="s">
        <v>204</v>
      </c>
    </row>
    <row r="67" spans="1:15" s="19" customFormat="1" ht="32.25" customHeight="1">
      <c r="A67" s="20">
        <v>64</v>
      </c>
      <c r="B67" s="21" t="s">
        <v>122</v>
      </c>
      <c r="C67" s="20" t="s">
        <v>123</v>
      </c>
      <c r="D67" s="20" t="s">
        <v>124</v>
      </c>
      <c r="E67" s="22" t="s">
        <v>14</v>
      </c>
      <c r="F67" s="23"/>
      <c r="G67" s="50" t="s">
        <v>15</v>
      </c>
      <c r="H67" s="51"/>
      <c r="I67" s="51"/>
      <c r="J67" s="51"/>
      <c r="K67" s="51"/>
      <c r="L67" s="51"/>
      <c r="M67" s="51"/>
      <c r="N67" s="52"/>
    </row>
    <row r="68" spans="1:15" s="19" customFormat="1" ht="32.25" customHeight="1">
      <c r="A68" s="20">
        <v>65</v>
      </c>
      <c r="B68" s="21" t="s">
        <v>122</v>
      </c>
      <c r="C68" s="20" t="s">
        <v>123</v>
      </c>
      <c r="D68" s="20" t="s">
        <v>124</v>
      </c>
      <c r="E68" s="21" t="s">
        <v>17</v>
      </c>
      <c r="F68" s="23" t="s">
        <v>18</v>
      </c>
      <c r="G68" s="43" t="s">
        <v>130</v>
      </c>
      <c r="H68" s="36" t="s">
        <v>20</v>
      </c>
      <c r="I68" s="37">
        <v>46</v>
      </c>
      <c r="J68" s="38"/>
      <c r="K68" s="39"/>
      <c r="L68" s="40"/>
      <c r="M68" s="41"/>
      <c r="N68" s="34" t="s">
        <v>215</v>
      </c>
    </row>
    <row r="69" spans="1:15" s="19" customFormat="1" ht="32.25" customHeight="1">
      <c r="A69" s="20">
        <v>66</v>
      </c>
      <c r="B69" s="21" t="s">
        <v>122</v>
      </c>
      <c r="C69" s="20" t="s">
        <v>123</v>
      </c>
      <c r="D69" s="20" t="s">
        <v>124</v>
      </c>
      <c r="E69" s="21" t="s">
        <v>17</v>
      </c>
      <c r="F69" s="23" t="s">
        <v>21</v>
      </c>
      <c r="G69" s="35" t="s">
        <v>22</v>
      </c>
      <c r="H69" s="36" t="s">
        <v>20</v>
      </c>
      <c r="I69" s="37">
        <f>ROUND(I67*4.4,0)</f>
        <v>0</v>
      </c>
      <c r="J69" s="38"/>
      <c r="K69" s="39" t="s">
        <v>131</v>
      </c>
      <c r="L69" s="40" t="s">
        <v>20</v>
      </c>
      <c r="M69" s="41">
        <v>1886</v>
      </c>
      <c r="N69" s="34" t="s">
        <v>217</v>
      </c>
    </row>
    <row r="70" spans="1:15" s="19" customFormat="1" ht="32.25" customHeight="1">
      <c r="A70" s="20">
        <v>67</v>
      </c>
      <c r="B70" s="21" t="s">
        <v>122</v>
      </c>
      <c r="C70" s="20" t="s">
        <v>123</v>
      </c>
      <c r="D70" s="20" t="s">
        <v>124</v>
      </c>
      <c r="E70" s="21" t="s">
        <v>17</v>
      </c>
      <c r="F70" s="23" t="s">
        <v>21</v>
      </c>
      <c r="G70" s="34" t="s">
        <v>217</v>
      </c>
      <c r="H70" s="34" t="s">
        <v>217</v>
      </c>
      <c r="I70" s="34" t="s">
        <v>217</v>
      </c>
      <c r="J70" s="34" t="s">
        <v>217</v>
      </c>
      <c r="K70" s="34" t="s">
        <v>217</v>
      </c>
      <c r="L70" s="34" t="s">
        <v>217</v>
      </c>
      <c r="M70" s="34" t="s">
        <v>217</v>
      </c>
      <c r="N70" s="34" t="s">
        <v>217</v>
      </c>
      <c r="O70" s="25"/>
    </row>
    <row r="71" spans="1:15" s="19" customFormat="1" ht="47.25">
      <c r="A71" s="20">
        <v>68</v>
      </c>
      <c r="B71" s="21" t="s">
        <v>122</v>
      </c>
      <c r="C71" s="20" t="s">
        <v>123</v>
      </c>
      <c r="D71" s="20" t="s">
        <v>124</v>
      </c>
      <c r="E71" s="21" t="s">
        <v>17</v>
      </c>
      <c r="F71" s="23" t="s">
        <v>21</v>
      </c>
      <c r="G71" s="35" t="s">
        <v>28</v>
      </c>
      <c r="H71" s="36" t="s">
        <v>29</v>
      </c>
      <c r="I71" s="37">
        <v>28.5</v>
      </c>
      <c r="J71" s="38" t="s">
        <v>133</v>
      </c>
      <c r="K71" s="39" t="s">
        <v>134</v>
      </c>
      <c r="L71" s="40" t="s">
        <v>20</v>
      </c>
      <c r="M71" s="41">
        <v>38</v>
      </c>
      <c r="N71" s="34" t="s">
        <v>208</v>
      </c>
      <c r="O71" s="25" t="s">
        <v>206</v>
      </c>
    </row>
    <row r="72" spans="1:15" s="19" customFormat="1" ht="60">
      <c r="A72" s="20">
        <v>69</v>
      </c>
      <c r="B72" s="21" t="s">
        <v>122</v>
      </c>
      <c r="C72" s="20" t="s">
        <v>123</v>
      </c>
      <c r="D72" s="20" t="s">
        <v>124</v>
      </c>
      <c r="E72" s="21" t="s">
        <v>17</v>
      </c>
      <c r="F72" s="23" t="s">
        <v>21</v>
      </c>
      <c r="G72" s="35" t="s">
        <v>32</v>
      </c>
      <c r="H72" s="36" t="s">
        <v>29</v>
      </c>
      <c r="I72" s="37">
        <v>28.5</v>
      </c>
      <c r="J72" s="38" t="s">
        <v>135</v>
      </c>
      <c r="K72" s="39" t="s">
        <v>136</v>
      </c>
      <c r="L72" s="40" t="s">
        <v>20</v>
      </c>
      <c r="M72" s="41">
        <v>38</v>
      </c>
      <c r="N72" s="34" t="s">
        <v>208</v>
      </c>
      <c r="O72" s="25" t="s">
        <v>207</v>
      </c>
    </row>
    <row r="73" spans="1:15" s="19" customFormat="1" ht="32.25" customHeight="1">
      <c r="A73" s="20">
        <v>70</v>
      </c>
      <c r="B73" s="21" t="s">
        <v>122</v>
      </c>
      <c r="C73" s="20" t="s">
        <v>123</v>
      </c>
      <c r="D73" s="20" t="s">
        <v>124</v>
      </c>
      <c r="E73" s="21" t="s">
        <v>17</v>
      </c>
      <c r="F73" s="23" t="s">
        <v>21</v>
      </c>
      <c r="G73" s="35" t="s">
        <v>137</v>
      </c>
      <c r="H73" s="36" t="s">
        <v>29</v>
      </c>
      <c r="I73" s="37">
        <v>28.5</v>
      </c>
      <c r="J73" s="38" t="s">
        <v>138</v>
      </c>
      <c r="K73" s="39" t="s">
        <v>139</v>
      </c>
      <c r="L73" s="40" t="s">
        <v>38</v>
      </c>
      <c r="M73" s="41">
        <v>30</v>
      </c>
      <c r="N73" s="34" t="s">
        <v>218</v>
      </c>
    </row>
    <row r="74" spans="1:15" s="19" customFormat="1" ht="32.25" customHeight="1">
      <c r="A74" s="20">
        <v>71</v>
      </c>
      <c r="B74" s="21" t="s">
        <v>122</v>
      </c>
      <c r="C74" s="20" t="s">
        <v>123</v>
      </c>
      <c r="D74" s="20" t="s">
        <v>124</v>
      </c>
      <c r="E74" s="21" t="s">
        <v>17</v>
      </c>
      <c r="F74" s="23" t="s">
        <v>21</v>
      </c>
      <c r="G74" s="35" t="s">
        <v>140</v>
      </c>
      <c r="H74" s="36" t="s">
        <v>29</v>
      </c>
      <c r="I74" s="37">
        <v>28.5</v>
      </c>
      <c r="J74" s="38" t="s">
        <v>141</v>
      </c>
      <c r="K74" s="39" t="s">
        <v>142</v>
      </c>
      <c r="L74" s="40" t="s">
        <v>38</v>
      </c>
      <c r="M74" s="41">
        <v>30</v>
      </c>
      <c r="N74" s="34" t="s">
        <v>214</v>
      </c>
    </row>
    <row r="75" spans="1:15" s="19" customFormat="1" ht="32.25" customHeight="1">
      <c r="A75" s="20">
        <v>72</v>
      </c>
      <c r="B75" s="21" t="s">
        <v>122</v>
      </c>
      <c r="C75" s="20" t="s">
        <v>123</v>
      </c>
      <c r="D75" s="20" t="s">
        <v>124</v>
      </c>
      <c r="E75" s="21" t="s">
        <v>17</v>
      </c>
      <c r="F75" s="23" t="s">
        <v>21</v>
      </c>
      <c r="G75" s="35" t="s">
        <v>48</v>
      </c>
      <c r="H75" s="36" t="s">
        <v>29</v>
      </c>
      <c r="I75" s="37">
        <v>10.6</v>
      </c>
      <c r="J75" s="38" t="s">
        <v>143</v>
      </c>
      <c r="K75" s="39" t="s">
        <v>144</v>
      </c>
      <c r="L75" s="40" t="s">
        <v>38</v>
      </c>
      <c r="M75" s="41">
        <v>12.5</v>
      </c>
      <c r="N75" s="34" t="s">
        <v>216</v>
      </c>
    </row>
    <row r="76" spans="1:15" s="19" customFormat="1" ht="32.25" customHeight="1">
      <c r="A76" s="20">
        <v>73</v>
      </c>
      <c r="B76" s="21" t="s">
        <v>122</v>
      </c>
      <c r="C76" s="20" t="s">
        <v>123</v>
      </c>
      <c r="D76" s="20" t="s">
        <v>124</v>
      </c>
      <c r="E76" s="21" t="s">
        <v>17</v>
      </c>
      <c r="F76" s="23" t="s">
        <v>21</v>
      </c>
      <c r="G76" s="35" t="s">
        <v>115</v>
      </c>
      <c r="H76" s="36" t="s">
        <v>29</v>
      </c>
      <c r="I76" s="37">
        <v>28.5</v>
      </c>
      <c r="J76" s="38" t="s">
        <v>145</v>
      </c>
      <c r="K76" s="39" t="s">
        <v>146</v>
      </c>
      <c r="L76" s="40" t="s">
        <v>38</v>
      </c>
      <c r="M76" s="41">
        <v>30</v>
      </c>
      <c r="N76" s="34" t="s">
        <v>214</v>
      </c>
    </row>
    <row r="77" spans="1:15" s="19" customFormat="1" ht="32.25" customHeight="1">
      <c r="A77" s="20">
        <v>74</v>
      </c>
      <c r="B77" s="21" t="s">
        <v>122</v>
      </c>
      <c r="C77" s="20" t="s">
        <v>123</v>
      </c>
      <c r="D77" s="20" t="s">
        <v>124</v>
      </c>
      <c r="E77" s="21" t="s">
        <v>17</v>
      </c>
      <c r="F77" s="23" t="s">
        <v>21</v>
      </c>
      <c r="G77" s="35" t="s">
        <v>147</v>
      </c>
      <c r="H77" s="36" t="s">
        <v>29</v>
      </c>
      <c r="I77" s="37">
        <v>10.6</v>
      </c>
      <c r="J77" s="38" t="s">
        <v>148</v>
      </c>
      <c r="K77" s="39" t="s">
        <v>149</v>
      </c>
      <c r="L77" s="40" t="s">
        <v>38</v>
      </c>
      <c r="M77" s="41">
        <v>11.25</v>
      </c>
      <c r="N77" s="34" t="s">
        <v>214</v>
      </c>
    </row>
    <row r="78" spans="1:15" s="19" customFormat="1" ht="32.25" customHeight="1">
      <c r="A78" s="20">
        <v>75</v>
      </c>
      <c r="B78" s="21" t="s">
        <v>122</v>
      </c>
      <c r="C78" s="20" t="s">
        <v>123</v>
      </c>
      <c r="D78" s="20" t="s">
        <v>124</v>
      </c>
      <c r="E78" s="21" t="s">
        <v>17</v>
      </c>
      <c r="F78" s="23" t="s">
        <v>21</v>
      </c>
      <c r="G78" s="35" t="s">
        <v>56</v>
      </c>
      <c r="H78" s="36" t="s">
        <v>20</v>
      </c>
      <c r="I78" s="37">
        <v>528</v>
      </c>
      <c r="J78" s="38"/>
      <c r="K78" s="39" t="s">
        <v>150</v>
      </c>
      <c r="L78" s="40" t="s">
        <v>20</v>
      </c>
      <c r="M78" s="41">
        <v>1000</v>
      </c>
      <c r="N78" s="34" t="s">
        <v>225</v>
      </c>
    </row>
    <row r="79" spans="1:15" s="19" customFormat="1" ht="32.25" customHeight="1">
      <c r="A79" s="20">
        <v>76</v>
      </c>
      <c r="B79" s="21" t="s">
        <v>122</v>
      </c>
      <c r="C79" s="20" t="s">
        <v>123</v>
      </c>
      <c r="D79" s="20" t="s">
        <v>124</v>
      </c>
      <c r="E79" s="21" t="s">
        <v>17</v>
      </c>
      <c r="F79" s="23" t="s">
        <v>21</v>
      </c>
      <c r="G79" s="35" t="s">
        <v>55</v>
      </c>
      <c r="H79" s="36" t="s">
        <v>20</v>
      </c>
      <c r="I79" s="37">
        <v>16</v>
      </c>
      <c r="J79" s="38"/>
      <c r="K79" s="39" t="s">
        <v>132</v>
      </c>
      <c r="L79" s="40"/>
      <c r="M79" s="41"/>
      <c r="N79" s="34" t="s">
        <v>217</v>
      </c>
    </row>
    <row r="80" spans="1:15" s="19" customFormat="1" ht="39" customHeight="1">
      <c r="A80" s="20">
        <v>77</v>
      </c>
      <c r="B80" s="21" t="s">
        <v>122</v>
      </c>
      <c r="C80" s="20" t="s">
        <v>123</v>
      </c>
      <c r="D80" s="20" t="s">
        <v>124</v>
      </c>
      <c r="E80" s="21" t="s">
        <v>17</v>
      </c>
      <c r="F80" s="23" t="s">
        <v>21</v>
      </c>
      <c r="G80" s="35" t="s">
        <v>151</v>
      </c>
      <c r="H80" s="36" t="s">
        <v>20</v>
      </c>
      <c r="I80" s="37">
        <v>1</v>
      </c>
      <c r="J80" s="38" t="s">
        <v>152</v>
      </c>
      <c r="K80" s="39" t="s">
        <v>153</v>
      </c>
      <c r="L80" s="40" t="s">
        <v>20</v>
      </c>
      <c r="M80" s="41">
        <v>10</v>
      </c>
      <c r="N80" s="34" t="s">
        <v>220</v>
      </c>
      <c r="O80" s="25" t="s">
        <v>219</v>
      </c>
    </row>
    <row r="81" spans="1:15" s="19" customFormat="1" ht="32.25" customHeight="1">
      <c r="A81" s="20">
        <v>78</v>
      </c>
      <c r="B81" s="21" t="s">
        <v>122</v>
      </c>
      <c r="C81" s="20" t="s">
        <v>123</v>
      </c>
      <c r="D81" s="20" t="s">
        <v>124</v>
      </c>
      <c r="E81" s="21" t="s">
        <v>17</v>
      </c>
      <c r="F81" s="23" t="s">
        <v>21</v>
      </c>
      <c r="G81" s="35" t="s">
        <v>57</v>
      </c>
      <c r="H81" s="36" t="s">
        <v>29</v>
      </c>
      <c r="I81" s="37">
        <v>39</v>
      </c>
      <c r="J81" s="38" t="s">
        <v>154</v>
      </c>
      <c r="K81" s="39" t="s">
        <v>155</v>
      </c>
      <c r="L81" s="40" t="s">
        <v>20</v>
      </c>
      <c r="M81" s="41">
        <v>20</v>
      </c>
      <c r="N81" s="34" t="s">
        <v>210</v>
      </c>
      <c r="O81" s="25" t="s">
        <v>209</v>
      </c>
    </row>
    <row r="82" spans="1:15" s="19" customFormat="1" ht="32.25" customHeight="1">
      <c r="A82" s="20">
        <v>79</v>
      </c>
      <c r="B82" s="21" t="s">
        <v>122</v>
      </c>
      <c r="C82" s="20" t="s">
        <v>123</v>
      </c>
      <c r="D82" s="20" t="s">
        <v>124</v>
      </c>
      <c r="E82" s="21" t="s">
        <v>17</v>
      </c>
      <c r="F82" s="23" t="s">
        <v>21</v>
      </c>
      <c r="G82" s="35" t="s">
        <v>61</v>
      </c>
      <c r="H82" s="36" t="s">
        <v>20</v>
      </c>
      <c r="I82" s="37">
        <v>2</v>
      </c>
      <c r="J82" s="38" t="s">
        <v>156</v>
      </c>
      <c r="K82" s="39" t="s">
        <v>157</v>
      </c>
      <c r="L82" s="40" t="s">
        <v>20</v>
      </c>
      <c r="M82" s="41">
        <v>2</v>
      </c>
      <c r="N82" s="34" t="s">
        <v>210</v>
      </c>
      <c r="O82" s="25" t="s">
        <v>209</v>
      </c>
    </row>
    <row r="83" spans="1:15" s="19" customFormat="1" ht="32.25" customHeight="1">
      <c r="A83" s="20">
        <v>80</v>
      </c>
      <c r="B83" s="21" t="s">
        <v>122</v>
      </c>
      <c r="C83" s="20" t="s">
        <v>123</v>
      </c>
      <c r="D83" s="20" t="s">
        <v>124</v>
      </c>
      <c r="E83" s="21" t="s">
        <v>17</v>
      </c>
      <c r="F83" s="23" t="s">
        <v>21</v>
      </c>
      <c r="G83" s="35" t="s">
        <v>64</v>
      </c>
      <c r="H83" s="36" t="s">
        <v>20</v>
      </c>
      <c r="I83" s="37">
        <v>65</v>
      </c>
      <c r="J83" s="38" t="s">
        <v>158</v>
      </c>
      <c r="K83" s="39" t="s">
        <v>159</v>
      </c>
      <c r="L83" s="40" t="s">
        <v>20</v>
      </c>
      <c r="M83" s="41">
        <v>65</v>
      </c>
      <c r="N83" s="34" t="s">
        <v>210</v>
      </c>
      <c r="O83" s="25" t="s">
        <v>209</v>
      </c>
    </row>
    <row r="84" spans="1:15" s="19" customFormat="1" ht="32.25" customHeight="1">
      <c r="A84" s="20">
        <v>81</v>
      </c>
      <c r="B84" s="21" t="s">
        <v>122</v>
      </c>
      <c r="C84" s="20" t="s">
        <v>123</v>
      </c>
      <c r="D84" s="20" t="s">
        <v>124</v>
      </c>
      <c r="E84" s="21" t="s">
        <v>17</v>
      </c>
      <c r="F84" s="23" t="s">
        <v>21</v>
      </c>
      <c r="G84" s="35" t="s">
        <v>67</v>
      </c>
      <c r="H84" s="36" t="s">
        <v>20</v>
      </c>
      <c r="I84" s="37">
        <v>2</v>
      </c>
      <c r="J84" s="38" t="s">
        <v>160</v>
      </c>
      <c r="K84" s="39" t="s">
        <v>161</v>
      </c>
      <c r="L84" s="40" t="s">
        <v>20</v>
      </c>
      <c r="M84" s="41">
        <v>2</v>
      </c>
      <c r="N84" s="34" t="s">
        <v>210</v>
      </c>
      <c r="O84" s="25" t="s">
        <v>209</v>
      </c>
    </row>
    <row r="85" spans="1:15" s="19" customFormat="1" ht="32.25" customHeight="1">
      <c r="A85" s="20">
        <v>82</v>
      </c>
      <c r="B85" s="21" t="s">
        <v>122</v>
      </c>
      <c r="C85" s="20" t="s">
        <v>123</v>
      </c>
      <c r="D85" s="20" t="s">
        <v>124</v>
      </c>
      <c r="E85" s="21" t="s">
        <v>17</v>
      </c>
      <c r="F85" s="23" t="s">
        <v>21</v>
      </c>
      <c r="G85" s="35" t="s">
        <v>70</v>
      </c>
      <c r="H85" s="36" t="s">
        <v>29</v>
      </c>
      <c r="I85" s="37">
        <v>12</v>
      </c>
      <c r="J85" s="38" t="s">
        <v>162</v>
      </c>
      <c r="K85" s="39" t="s">
        <v>163</v>
      </c>
      <c r="L85" s="40" t="s">
        <v>20</v>
      </c>
      <c r="M85" s="41">
        <v>6</v>
      </c>
      <c r="N85" s="34" t="s">
        <v>210</v>
      </c>
      <c r="O85" s="25" t="s">
        <v>209</v>
      </c>
    </row>
    <row r="86" spans="1:15" s="19" customFormat="1" ht="32.25" customHeight="1">
      <c r="A86" s="20">
        <v>83</v>
      </c>
      <c r="B86" s="21" t="s">
        <v>122</v>
      </c>
      <c r="C86" s="20" t="s">
        <v>123</v>
      </c>
      <c r="D86" s="20" t="s">
        <v>124</v>
      </c>
      <c r="E86" s="21" t="s">
        <v>17</v>
      </c>
      <c r="F86" s="23" t="s">
        <v>21</v>
      </c>
      <c r="G86" s="35" t="s">
        <v>73</v>
      </c>
      <c r="H86" s="36" t="s">
        <v>20</v>
      </c>
      <c r="I86" s="37">
        <v>12</v>
      </c>
      <c r="J86" s="38" t="s">
        <v>164</v>
      </c>
      <c r="K86" s="39" t="s">
        <v>165</v>
      </c>
      <c r="L86" s="40" t="s">
        <v>20</v>
      </c>
      <c r="M86" s="41">
        <v>12</v>
      </c>
      <c r="N86" s="34" t="s">
        <v>210</v>
      </c>
      <c r="O86" s="25" t="s">
        <v>209</v>
      </c>
    </row>
    <row r="87" spans="1:15" s="19" customFormat="1" ht="32.25" customHeight="1">
      <c r="A87" s="20">
        <v>84</v>
      </c>
      <c r="B87" s="21" t="s">
        <v>122</v>
      </c>
      <c r="C87" s="20" t="s">
        <v>123</v>
      </c>
      <c r="D87" s="20" t="s">
        <v>124</v>
      </c>
      <c r="E87" s="21" t="s">
        <v>17</v>
      </c>
      <c r="F87" s="23" t="s">
        <v>21</v>
      </c>
      <c r="G87" s="35" t="s">
        <v>76</v>
      </c>
      <c r="H87" s="36" t="s">
        <v>20</v>
      </c>
      <c r="I87" s="37">
        <v>6</v>
      </c>
      <c r="J87" s="38" t="s">
        <v>166</v>
      </c>
      <c r="K87" s="39" t="s">
        <v>167</v>
      </c>
      <c r="L87" s="40" t="s">
        <v>20</v>
      </c>
      <c r="M87" s="41">
        <v>6</v>
      </c>
      <c r="N87" s="34" t="s">
        <v>210</v>
      </c>
      <c r="O87" s="25" t="s">
        <v>209</v>
      </c>
    </row>
    <row r="88" spans="1:15" s="19" customFormat="1" ht="31.5">
      <c r="A88" s="20">
        <v>85</v>
      </c>
      <c r="B88" s="21" t="s">
        <v>122</v>
      </c>
      <c r="C88" s="20" t="s">
        <v>123</v>
      </c>
      <c r="D88" s="20" t="s">
        <v>124</v>
      </c>
      <c r="E88" s="21" t="s">
        <v>17</v>
      </c>
      <c r="F88" s="23" t="s">
        <v>21</v>
      </c>
      <c r="G88" s="35" t="s">
        <v>82</v>
      </c>
      <c r="H88" s="36" t="s">
        <v>29</v>
      </c>
      <c r="I88" s="37">
        <v>156</v>
      </c>
      <c r="J88" s="38" t="s">
        <v>168</v>
      </c>
      <c r="K88" s="39" t="s">
        <v>169</v>
      </c>
      <c r="L88" s="40" t="s">
        <v>20</v>
      </c>
      <c r="M88" s="41">
        <v>10</v>
      </c>
      <c r="N88" s="34" t="s">
        <v>212</v>
      </c>
      <c r="O88" s="25" t="s">
        <v>211</v>
      </c>
    </row>
    <row r="89" spans="1:15" s="19" customFormat="1" ht="32.25" customHeight="1">
      <c r="A89" s="20">
        <v>86</v>
      </c>
      <c r="B89" s="21" t="s">
        <v>122</v>
      </c>
      <c r="C89" s="20" t="s">
        <v>123</v>
      </c>
      <c r="D89" s="20" t="s">
        <v>124</v>
      </c>
      <c r="E89" s="21" t="s">
        <v>17</v>
      </c>
      <c r="F89" s="23" t="s">
        <v>21</v>
      </c>
      <c r="G89" s="35" t="s">
        <v>170</v>
      </c>
      <c r="H89" s="36" t="s">
        <v>20</v>
      </c>
      <c r="I89" s="37">
        <v>6</v>
      </c>
      <c r="J89" s="38" t="s">
        <v>171</v>
      </c>
      <c r="K89" s="39" t="s">
        <v>172</v>
      </c>
      <c r="L89" s="40" t="s">
        <v>20</v>
      </c>
      <c r="M89" s="41">
        <v>6</v>
      </c>
      <c r="N89" s="34" t="s">
        <v>222</v>
      </c>
      <c r="O89" s="25" t="s">
        <v>221</v>
      </c>
    </row>
    <row r="90" spans="1:15" s="19" customFormat="1" ht="32.25" customHeight="1">
      <c r="A90" s="20">
        <v>87</v>
      </c>
      <c r="B90" s="21" t="s">
        <v>122</v>
      </c>
      <c r="C90" s="20" t="s">
        <v>123</v>
      </c>
      <c r="D90" s="20" t="s">
        <v>124</v>
      </c>
      <c r="E90" s="22" t="s">
        <v>14</v>
      </c>
      <c r="F90" s="23"/>
      <c r="G90" s="56" t="s">
        <v>85</v>
      </c>
      <c r="H90" s="57"/>
      <c r="I90" s="57"/>
      <c r="J90" s="57"/>
      <c r="K90" s="57"/>
      <c r="L90" s="57"/>
      <c r="M90" s="57"/>
      <c r="N90" s="58"/>
    </row>
    <row r="91" spans="1:15" s="19" customFormat="1" ht="52.5" customHeight="1">
      <c r="A91" s="20">
        <v>88</v>
      </c>
      <c r="B91" s="21" t="s">
        <v>122</v>
      </c>
      <c r="C91" s="20" t="s">
        <v>123</v>
      </c>
      <c r="D91" s="20" t="s">
        <v>124</v>
      </c>
      <c r="E91" s="21" t="s">
        <v>17</v>
      </c>
      <c r="F91" s="23" t="s">
        <v>21</v>
      </c>
      <c r="G91" s="35" t="s">
        <v>173</v>
      </c>
      <c r="H91" s="36" t="s">
        <v>89</v>
      </c>
      <c r="I91" s="37">
        <f>78/3</f>
        <v>26</v>
      </c>
      <c r="J91" s="38" t="s">
        <v>174</v>
      </c>
      <c r="K91" s="39" t="s">
        <v>175</v>
      </c>
      <c r="L91" s="40" t="s">
        <v>29</v>
      </c>
      <c r="M91" s="41">
        <v>78</v>
      </c>
      <c r="N91" s="34" t="s">
        <v>210</v>
      </c>
      <c r="O91" s="25" t="s">
        <v>209</v>
      </c>
    </row>
    <row r="92" spans="1:15" s="19" customFormat="1" ht="48.75" customHeight="1">
      <c r="A92" s="20">
        <v>89</v>
      </c>
      <c r="B92" s="21" t="s">
        <v>122</v>
      </c>
      <c r="C92" s="20" t="s">
        <v>123</v>
      </c>
      <c r="D92" s="20" t="s">
        <v>124</v>
      </c>
      <c r="E92" s="21" t="s">
        <v>17</v>
      </c>
      <c r="F92" s="23" t="s">
        <v>21</v>
      </c>
      <c r="G92" s="35" t="s">
        <v>176</v>
      </c>
      <c r="H92" s="36" t="s">
        <v>20</v>
      </c>
      <c r="I92" s="37">
        <v>12</v>
      </c>
      <c r="J92" s="38" t="s">
        <v>177</v>
      </c>
      <c r="K92" s="39" t="s">
        <v>178</v>
      </c>
      <c r="L92" s="40" t="s">
        <v>89</v>
      </c>
      <c r="M92" s="41">
        <v>12</v>
      </c>
      <c r="N92" s="34" t="s">
        <v>210</v>
      </c>
      <c r="O92" s="25" t="s">
        <v>209</v>
      </c>
    </row>
    <row r="93" spans="1:15" s="19" customFormat="1" ht="32.25" customHeight="1">
      <c r="A93" s="20">
        <v>90</v>
      </c>
      <c r="B93" s="21" t="s">
        <v>122</v>
      </c>
      <c r="C93" s="20" t="s">
        <v>123</v>
      </c>
      <c r="D93" s="20" t="s">
        <v>124</v>
      </c>
      <c r="E93" s="21" t="s">
        <v>17</v>
      </c>
      <c r="F93" s="23" t="s">
        <v>21</v>
      </c>
      <c r="G93" s="35" t="s">
        <v>90</v>
      </c>
      <c r="H93" s="36" t="s">
        <v>20</v>
      </c>
      <c r="I93" s="37">
        <v>78</v>
      </c>
      <c r="J93" s="38"/>
      <c r="K93" s="39"/>
      <c r="L93" s="40"/>
      <c r="M93" s="41"/>
      <c r="N93" s="34" t="s">
        <v>215</v>
      </c>
    </row>
    <row r="94" spans="1:15" s="19" customFormat="1" ht="32.25" customHeight="1">
      <c r="A94" s="20">
        <v>91</v>
      </c>
      <c r="B94" s="21" t="s">
        <v>122</v>
      </c>
      <c r="C94" s="20" t="s">
        <v>123</v>
      </c>
      <c r="D94" s="20" t="s">
        <v>124</v>
      </c>
      <c r="E94" s="21" t="s">
        <v>17</v>
      </c>
      <c r="F94" s="23" t="s">
        <v>21</v>
      </c>
      <c r="G94" s="26" t="s">
        <v>179</v>
      </c>
      <c r="H94" s="27" t="s">
        <v>20</v>
      </c>
      <c r="I94" s="28">
        <v>48</v>
      </c>
      <c r="J94" s="29"/>
      <c r="K94" s="30"/>
      <c r="L94" s="31"/>
      <c r="M94" s="32"/>
      <c r="N94" s="47"/>
    </row>
    <row r="95" spans="1:15" s="19" customFormat="1" ht="32.25" customHeight="1">
      <c r="A95" s="20">
        <v>92</v>
      </c>
      <c r="B95" s="21" t="s">
        <v>122</v>
      </c>
      <c r="C95" s="20" t="s">
        <v>123</v>
      </c>
      <c r="D95" s="20" t="s">
        <v>124</v>
      </c>
      <c r="E95" s="22" t="s">
        <v>14</v>
      </c>
      <c r="F95" s="23"/>
      <c r="G95" s="50" t="s">
        <v>93</v>
      </c>
      <c r="H95" s="51"/>
      <c r="I95" s="51"/>
      <c r="J95" s="51"/>
      <c r="K95" s="51"/>
      <c r="L95" s="51"/>
      <c r="M95" s="51"/>
      <c r="N95" s="52"/>
    </row>
    <row r="96" spans="1:15" s="19" customFormat="1" ht="32.25" customHeight="1">
      <c r="A96" s="20">
        <v>93</v>
      </c>
      <c r="B96" s="21" t="s">
        <v>122</v>
      </c>
      <c r="C96" s="20" t="s">
        <v>123</v>
      </c>
      <c r="D96" s="20" t="s">
        <v>124</v>
      </c>
      <c r="E96" s="21" t="s">
        <v>17</v>
      </c>
      <c r="F96" s="23" t="s">
        <v>18</v>
      </c>
      <c r="G96" s="26" t="s">
        <v>180</v>
      </c>
      <c r="H96" s="27" t="s">
        <v>20</v>
      </c>
      <c r="I96" s="28">
        <v>3</v>
      </c>
      <c r="J96" s="29"/>
      <c r="K96" s="30"/>
      <c r="L96" s="31"/>
      <c r="M96" s="32"/>
      <c r="N96" s="47"/>
    </row>
    <row r="97" spans="1:14" s="19" customFormat="1" ht="32.25" customHeight="1">
      <c r="A97" s="20">
        <v>94</v>
      </c>
      <c r="B97" s="21" t="s">
        <v>122</v>
      </c>
      <c r="C97" s="20" t="s">
        <v>123</v>
      </c>
      <c r="D97" s="20" t="s">
        <v>124</v>
      </c>
      <c r="E97" s="21" t="s">
        <v>17</v>
      </c>
      <c r="F97" s="23" t="s">
        <v>18</v>
      </c>
      <c r="G97" s="26" t="s">
        <v>181</v>
      </c>
      <c r="H97" s="27" t="s">
        <v>20</v>
      </c>
      <c r="I97" s="28">
        <v>2</v>
      </c>
      <c r="J97" s="29"/>
      <c r="K97" s="30"/>
      <c r="L97" s="31"/>
      <c r="M97" s="32"/>
      <c r="N97" s="47"/>
    </row>
    <row r="98" spans="1:14" s="19" customFormat="1" ht="32.25" customHeight="1">
      <c r="A98" s="20">
        <v>95</v>
      </c>
      <c r="B98" s="21" t="s">
        <v>122</v>
      </c>
      <c r="C98" s="20" t="s">
        <v>123</v>
      </c>
      <c r="D98" s="20" t="s">
        <v>124</v>
      </c>
      <c r="E98" s="21" t="s">
        <v>17</v>
      </c>
      <c r="F98" s="23" t="s">
        <v>18</v>
      </c>
      <c r="G98" s="26" t="s">
        <v>182</v>
      </c>
      <c r="H98" s="27" t="s">
        <v>20</v>
      </c>
      <c r="I98" s="28">
        <v>4</v>
      </c>
      <c r="J98" s="29"/>
      <c r="K98" s="30"/>
      <c r="L98" s="31"/>
      <c r="M98" s="32"/>
      <c r="N98" s="47"/>
    </row>
    <row r="99" spans="1:14" s="19" customFormat="1" ht="32.25" customHeight="1">
      <c r="A99" s="20">
        <v>96</v>
      </c>
      <c r="B99" s="21" t="s">
        <v>122</v>
      </c>
      <c r="C99" s="20" t="s">
        <v>123</v>
      </c>
      <c r="D99" s="20" t="s">
        <v>124</v>
      </c>
      <c r="E99" s="21" t="s">
        <v>17</v>
      </c>
      <c r="F99" s="23" t="s">
        <v>21</v>
      </c>
      <c r="G99" s="35" t="s">
        <v>22</v>
      </c>
      <c r="H99" s="36" t="s">
        <v>20</v>
      </c>
      <c r="I99" s="37">
        <f>ROUND(8.8*I95,0)</f>
        <v>0</v>
      </c>
      <c r="J99" s="38"/>
      <c r="K99" s="39" t="s">
        <v>131</v>
      </c>
      <c r="L99" s="40"/>
      <c r="M99" s="41"/>
      <c r="N99" s="34" t="s">
        <v>217</v>
      </c>
    </row>
    <row r="100" spans="1:14" s="19" customFormat="1" ht="32.25" customHeight="1">
      <c r="A100" s="20">
        <v>97</v>
      </c>
      <c r="B100" s="21" t="s">
        <v>122</v>
      </c>
      <c r="C100" s="20" t="s">
        <v>123</v>
      </c>
      <c r="D100" s="20" t="s">
        <v>124</v>
      </c>
      <c r="E100" s="21" t="s">
        <v>17</v>
      </c>
      <c r="F100" s="23" t="s">
        <v>21</v>
      </c>
      <c r="G100" s="35" t="s">
        <v>25</v>
      </c>
      <c r="H100" s="36" t="s">
        <v>20</v>
      </c>
      <c r="I100" s="37">
        <f>ROUND(3.3*I96,0)</f>
        <v>10</v>
      </c>
      <c r="J100" s="38"/>
      <c r="K100" s="39" t="s">
        <v>132</v>
      </c>
      <c r="L100" s="40"/>
      <c r="M100" s="41"/>
      <c r="N100" s="34" t="s">
        <v>217</v>
      </c>
    </row>
    <row r="101" spans="1:14" s="19" customFormat="1" ht="32.25" customHeight="1">
      <c r="A101" s="20">
        <v>98</v>
      </c>
      <c r="B101" s="21" t="s">
        <v>122</v>
      </c>
      <c r="C101" s="20" t="s">
        <v>123</v>
      </c>
      <c r="D101" s="20" t="s">
        <v>124</v>
      </c>
      <c r="E101" s="22" t="s">
        <v>14</v>
      </c>
      <c r="F101" s="23"/>
      <c r="G101" s="50" t="s">
        <v>102</v>
      </c>
      <c r="H101" s="51"/>
      <c r="I101" s="51"/>
      <c r="J101" s="51"/>
      <c r="K101" s="51"/>
      <c r="L101" s="51"/>
      <c r="M101" s="51"/>
      <c r="N101" s="52"/>
    </row>
    <row r="102" spans="1:14" s="19" customFormat="1" ht="32.25" customHeight="1">
      <c r="A102" s="20">
        <v>99</v>
      </c>
      <c r="B102" s="21" t="s">
        <v>122</v>
      </c>
      <c r="C102" s="20" t="s">
        <v>123</v>
      </c>
      <c r="D102" s="20" t="s">
        <v>124</v>
      </c>
      <c r="E102" s="21" t="s">
        <v>17</v>
      </c>
      <c r="F102" s="23" t="s">
        <v>18</v>
      </c>
      <c r="G102" s="35" t="s">
        <v>183</v>
      </c>
      <c r="H102" s="36" t="s">
        <v>20</v>
      </c>
      <c r="I102" s="37">
        <v>21</v>
      </c>
      <c r="J102" s="38"/>
      <c r="K102" s="39"/>
      <c r="L102" s="40"/>
      <c r="M102" s="41"/>
      <c r="N102" s="34" t="s">
        <v>215</v>
      </c>
    </row>
    <row r="103" spans="1:14" s="19" customFormat="1" ht="32.25" customHeight="1">
      <c r="A103" s="20">
        <v>100</v>
      </c>
      <c r="B103" s="21" t="s">
        <v>122</v>
      </c>
      <c r="C103" s="20" t="s">
        <v>123</v>
      </c>
      <c r="D103" s="20" t="s">
        <v>124</v>
      </c>
      <c r="E103" s="21" t="s">
        <v>17</v>
      </c>
      <c r="F103" s="23" t="s">
        <v>18</v>
      </c>
      <c r="G103" s="35" t="s">
        <v>184</v>
      </c>
      <c r="H103" s="36" t="s">
        <v>20</v>
      </c>
      <c r="I103" s="37">
        <v>22</v>
      </c>
      <c r="J103" s="38"/>
      <c r="K103" s="39"/>
      <c r="L103" s="40"/>
      <c r="M103" s="41"/>
      <c r="N103" s="34" t="s">
        <v>215</v>
      </c>
    </row>
    <row r="104" spans="1:14" s="19" customFormat="1" ht="32.25" customHeight="1">
      <c r="A104" s="20">
        <v>101</v>
      </c>
      <c r="B104" s="21" t="s">
        <v>122</v>
      </c>
      <c r="C104" s="20" t="s">
        <v>123</v>
      </c>
      <c r="D104" s="20" t="s">
        <v>124</v>
      </c>
      <c r="E104" s="21" t="s">
        <v>17</v>
      </c>
      <c r="F104" s="23" t="s">
        <v>21</v>
      </c>
      <c r="G104" s="35" t="s">
        <v>22</v>
      </c>
      <c r="H104" s="36" t="s">
        <v>20</v>
      </c>
      <c r="I104" s="37">
        <f>ROUND(4.4*I101,0)</f>
        <v>0</v>
      </c>
      <c r="J104" s="38"/>
      <c r="K104" s="39" t="s">
        <v>131</v>
      </c>
      <c r="L104" s="40"/>
      <c r="M104" s="41"/>
      <c r="N104" s="34" t="s">
        <v>217</v>
      </c>
    </row>
    <row r="105" spans="1:14" s="19" customFormat="1" ht="32.25" customHeight="1">
      <c r="A105" s="20">
        <v>102</v>
      </c>
      <c r="B105" s="21" t="s">
        <v>122</v>
      </c>
      <c r="C105" s="20" t="s">
        <v>123</v>
      </c>
      <c r="D105" s="20" t="s">
        <v>124</v>
      </c>
      <c r="E105" s="21" t="s">
        <v>17</v>
      </c>
      <c r="F105" s="23" t="s">
        <v>21</v>
      </c>
      <c r="G105" s="35" t="s">
        <v>25</v>
      </c>
      <c r="H105" s="36" t="s">
        <v>20</v>
      </c>
      <c r="I105" s="37">
        <f>ROUND(3.3*I101,0)</f>
        <v>0</v>
      </c>
      <c r="J105" s="38"/>
      <c r="K105" s="39" t="s">
        <v>132</v>
      </c>
      <c r="L105" s="40"/>
      <c r="M105" s="41"/>
      <c r="N105" s="34" t="s">
        <v>217</v>
      </c>
    </row>
    <row r="106" spans="1:14" s="19" customFormat="1" ht="32.25" customHeight="1">
      <c r="A106" s="20">
        <v>103</v>
      </c>
      <c r="B106" s="21" t="s">
        <v>122</v>
      </c>
      <c r="C106" s="20" t="s">
        <v>123</v>
      </c>
      <c r="D106" s="20" t="s">
        <v>124</v>
      </c>
      <c r="E106" s="21" t="s">
        <v>17</v>
      </c>
      <c r="F106" s="23" t="s">
        <v>21</v>
      </c>
      <c r="G106" s="35" t="s">
        <v>185</v>
      </c>
      <c r="H106" s="36" t="s">
        <v>29</v>
      </c>
      <c r="I106" s="37">
        <v>93.54</v>
      </c>
      <c r="J106" s="38" t="s">
        <v>186</v>
      </c>
      <c r="K106" s="39" t="s">
        <v>187</v>
      </c>
      <c r="L106" s="40" t="s">
        <v>38</v>
      </c>
      <c r="M106" s="41">
        <v>95</v>
      </c>
      <c r="N106" s="34" t="s">
        <v>214</v>
      </c>
    </row>
    <row r="107" spans="1:14" s="19" customFormat="1" ht="32.25" customHeight="1">
      <c r="A107" s="20">
        <v>104</v>
      </c>
      <c r="B107" s="21" t="s">
        <v>122</v>
      </c>
      <c r="C107" s="20" t="s">
        <v>123</v>
      </c>
      <c r="D107" s="20" t="s">
        <v>124</v>
      </c>
      <c r="E107" s="21" t="s">
        <v>17</v>
      </c>
      <c r="F107" s="23" t="s">
        <v>21</v>
      </c>
      <c r="G107" s="35" t="s">
        <v>55</v>
      </c>
      <c r="H107" s="36" t="s">
        <v>20</v>
      </c>
      <c r="I107" s="37">
        <v>612</v>
      </c>
      <c r="J107" s="38"/>
      <c r="K107" s="39" t="s">
        <v>132</v>
      </c>
      <c r="L107" s="40"/>
      <c r="M107" s="41"/>
      <c r="N107" s="34" t="s">
        <v>217</v>
      </c>
    </row>
    <row r="108" spans="1:14" s="19" customFormat="1" ht="32.25" customHeight="1">
      <c r="A108" s="20">
        <v>105</v>
      </c>
      <c r="B108" s="21" t="s">
        <v>122</v>
      </c>
      <c r="C108" s="20" t="s">
        <v>123</v>
      </c>
      <c r="D108" s="20" t="s">
        <v>124</v>
      </c>
      <c r="E108" s="22" t="s">
        <v>14</v>
      </c>
      <c r="F108" s="23"/>
      <c r="G108" s="50" t="s">
        <v>188</v>
      </c>
      <c r="H108" s="51"/>
      <c r="I108" s="51"/>
      <c r="J108" s="51"/>
      <c r="K108" s="51"/>
      <c r="L108" s="51"/>
      <c r="M108" s="51"/>
      <c r="N108" s="52"/>
    </row>
    <row r="109" spans="1:14" s="19" customFormat="1" ht="60">
      <c r="A109" s="20">
        <v>106</v>
      </c>
      <c r="B109" s="21" t="s">
        <v>122</v>
      </c>
      <c r="C109" s="20" t="s">
        <v>123</v>
      </c>
      <c r="D109" s="20" t="s">
        <v>124</v>
      </c>
      <c r="E109" s="21" t="s">
        <v>17</v>
      </c>
      <c r="F109" s="23" t="s">
        <v>21</v>
      </c>
      <c r="G109" s="35" t="s">
        <v>189</v>
      </c>
      <c r="H109" s="36" t="s">
        <v>16</v>
      </c>
      <c r="I109" s="37">
        <v>99.3</v>
      </c>
      <c r="J109" s="48" t="s">
        <v>190</v>
      </c>
      <c r="K109" s="39" t="s">
        <v>191</v>
      </c>
      <c r="L109" s="40" t="s">
        <v>38</v>
      </c>
      <c r="M109" s="49" t="s">
        <v>192</v>
      </c>
      <c r="N109" s="33" t="s">
        <v>203</v>
      </c>
    </row>
    <row r="110" spans="1:14" s="19" customFormat="1" ht="54.75" customHeight="1">
      <c r="A110" s="20">
        <v>107</v>
      </c>
      <c r="B110" s="21" t="s">
        <v>122</v>
      </c>
      <c r="C110" s="20" t="s">
        <v>123</v>
      </c>
      <c r="D110" s="20" t="s">
        <v>124</v>
      </c>
      <c r="E110" s="21" t="s">
        <v>17</v>
      </c>
      <c r="F110" s="23" t="s">
        <v>21</v>
      </c>
      <c r="G110" s="35" t="s">
        <v>193</v>
      </c>
      <c r="H110" s="36" t="s">
        <v>16</v>
      </c>
      <c r="I110" s="37">
        <v>5.4</v>
      </c>
      <c r="J110" s="38" t="s">
        <v>194</v>
      </c>
      <c r="K110" s="39" t="s">
        <v>195</v>
      </c>
      <c r="L110" s="40" t="s">
        <v>38</v>
      </c>
      <c r="M110" s="41">
        <v>5.4</v>
      </c>
      <c r="N110" s="33" t="s">
        <v>203</v>
      </c>
    </row>
    <row r="111" spans="1:14" s="19" customFormat="1" ht="45">
      <c r="A111" s="20">
        <v>108</v>
      </c>
      <c r="B111" s="21" t="s">
        <v>122</v>
      </c>
      <c r="C111" s="20" t="s">
        <v>123</v>
      </c>
      <c r="D111" s="20" t="s">
        <v>124</v>
      </c>
      <c r="E111" s="21" t="s">
        <v>17</v>
      </c>
      <c r="F111" s="23" t="s">
        <v>21</v>
      </c>
      <c r="G111" s="35" t="s">
        <v>196</v>
      </c>
      <c r="H111" s="36" t="s">
        <v>16</v>
      </c>
      <c r="I111" s="37">
        <v>7.7</v>
      </c>
      <c r="J111" s="38" t="s">
        <v>197</v>
      </c>
      <c r="K111" s="39" t="s">
        <v>198</v>
      </c>
      <c r="L111" s="40" t="s">
        <v>38</v>
      </c>
      <c r="M111" s="41">
        <v>8.4</v>
      </c>
      <c r="N111" s="34" t="s">
        <v>223</v>
      </c>
    </row>
    <row r="112" spans="1:14" s="19" customFormat="1" ht="32.25" customHeight="1">
      <c r="A112" s="20">
        <v>109</v>
      </c>
      <c r="B112" s="21" t="s">
        <v>122</v>
      </c>
      <c r="C112" s="20" t="s">
        <v>123</v>
      </c>
      <c r="D112" s="20" t="s">
        <v>124</v>
      </c>
      <c r="E112" s="21" t="s">
        <v>17</v>
      </c>
      <c r="F112" s="23" t="s">
        <v>21</v>
      </c>
      <c r="G112" s="35" t="s">
        <v>108</v>
      </c>
      <c r="H112" s="36" t="s">
        <v>29</v>
      </c>
      <c r="I112" s="37">
        <v>10.199999999999999</v>
      </c>
      <c r="J112" s="38" t="s">
        <v>199</v>
      </c>
      <c r="K112" s="39" t="s">
        <v>200</v>
      </c>
      <c r="L112" s="40" t="s">
        <v>38</v>
      </c>
      <c r="M112" s="41">
        <v>12.5</v>
      </c>
      <c r="N112" s="34" t="s">
        <v>214</v>
      </c>
    </row>
    <row r="113" spans="1:14" s="19" customFormat="1" ht="32.25" customHeight="1">
      <c r="A113" s="20">
        <v>110</v>
      </c>
      <c r="B113" s="21" t="s">
        <v>122</v>
      </c>
      <c r="C113" s="20" t="s">
        <v>123</v>
      </c>
      <c r="D113" s="20" t="s">
        <v>124</v>
      </c>
      <c r="E113" s="21" t="s">
        <v>17</v>
      </c>
      <c r="F113" s="23" t="s">
        <v>21</v>
      </c>
      <c r="G113" s="35" t="s">
        <v>56</v>
      </c>
      <c r="H113" s="36" t="s">
        <v>20</v>
      </c>
      <c r="I113" s="37">
        <v>56</v>
      </c>
      <c r="J113" s="38" t="s">
        <v>201</v>
      </c>
      <c r="K113" s="39" t="s">
        <v>150</v>
      </c>
      <c r="L113" s="40"/>
      <c r="M113" s="41"/>
      <c r="N113" s="34" t="s">
        <v>225</v>
      </c>
    </row>
    <row r="114" spans="1:14" s="19" customFormat="1" ht="32.25" customHeight="1">
      <c r="A114" s="20">
        <v>111</v>
      </c>
      <c r="B114" s="21" t="s">
        <v>122</v>
      </c>
      <c r="C114" s="20" t="s">
        <v>123</v>
      </c>
      <c r="D114" s="20" t="s">
        <v>124</v>
      </c>
      <c r="E114" s="21" t="s">
        <v>17</v>
      </c>
      <c r="F114" s="23" t="s">
        <v>21</v>
      </c>
      <c r="G114" s="35" t="s">
        <v>55</v>
      </c>
      <c r="H114" s="36" t="s">
        <v>20</v>
      </c>
      <c r="I114" s="37">
        <v>56</v>
      </c>
      <c r="J114" s="38"/>
      <c r="K114" s="39" t="s">
        <v>132</v>
      </c>
      <c r="L114" s="40"/>
      <c r="M114" s="41"/>
      <c r="N114" s="34" t="s">
        <v>217</v>
      </c>
    </row>
  </sheetData>
  <mergeCells count="11">
    <mergeCell ref="G67:N67"/>
    <mergeCell ref="G90:N90"/>
    <mergeCell ref="G95:N95"/>
    <mergeCell ref="G101:N101"/>
    <mergeCell ref="G108:N108"/>
    <mergeCell ref="G64:N64"/>
    <mergeCell ref="G4:N4"/>
    <mergeCell ref="G29:N29"/>
    <mergeCell ref="G32:N32"/>
    <mergeCell ref="G43:N43"/>
    <mergeCell ref="G54:N5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F721A3EA7FBDEB4BB804DC7751F4E1E9" ma:contentTypeVersion="0" ma:contentTypeDescription="Создание документа." ma:contentTypeScope="" ma:versionID="6774bd5376d4e605dcac5fa6310c521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3f3dfb3bd3ee1dbf888cdcc01e4126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182D64-687B-491C-A051-7EA1F811E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AE3BB59-1D53-4CAC-9D55-72AFB5311473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533D721-DC4B-4D1A-8C0D-5017CB7DFE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Cognos_Office_Connection_Cache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GWS07</cp:lastModifiedBy>
  <cp:revision>1</cp:revision>
  <dcterms:created xsi:type="dcterms:W3CDTF">2006-09-16T00:00:00Z</dcterms:created>
  <dcterms:modified xsi:type="dcterms:W3CDTF">2026-04-27T08:16:22Z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0x010100F721A3EA7FBDEB4BB804DC7751F4E1E9</vt:lpwstr>
  </property>
  <property fmtid="{D5CDD505-2E9C-101B-9397-08002B2CF9AE}" pid="3" name="CofWorkbookId">
    <vt:lpwstr>3bd79fc7-ca40-4f7a-b9be-27a9a3752c21</vt:lpwstr>
  </property>
</Properties>
</file>