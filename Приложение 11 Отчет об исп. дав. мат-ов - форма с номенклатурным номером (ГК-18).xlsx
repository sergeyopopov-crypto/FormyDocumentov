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T\Тамань ИД\"/>
    </mc:Choice>
  </mc:AlternateContent>
  <xr:revisionPtr revIDLastSave="0" documentId="13_ncr:1_{B76332C3-14B9-41CC-A92B-2B8D85BBA47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ГК-18" sheetId="2" r:id="rId1"/>
  </sheets>
  <definedNames>
    <definedName name="_xlnm._FilterDatabase" localSheetId="0" hidden="1">'ГК-18'!$A$21:$R$64</definedName>
    <definedName name="_xlnm.Print_Titles" localSheetId="0">'ГК-18'!$21:$21</definedName>
  </definedNames>
  <calcPr calcId="191029"/>
</workbook>
</file>

<file path=xl/calcChain.xml><?xml version="1.0" encoding="utf-8"?>
<calcChain xmlns="http://schemas.openxmlformats.org/spreadsheetml/2006/main">
  <c r="L22" i="2" l="1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H64" i="2"/>
  <c r="P64" i="2"/>
  <c r="L68" i="2"/>
  <c r="L64" i="2" l="1"/>
  <c r="Q64" i="2"/>
</calcChain>
</file>

<file path=xl/sharedStrings.xml><?xml version="1.0" encoding="utf-8"?>
<sst xmlns="http://schemas.openxmlformats.org/spreadsheetml/2006/main" count="531" uniqueCount="94">
  <si>
    <t>Отчетный период</t>
  </si>
  <si>
    <t>Номер документа</t>
  </si>
  <si>
    <t>Дата составления</t>
  </si>
  <si>
    <t>с</t>
  </si>
  <si>
    <t>по</t>
  </si>
  <si>
    <t>№ п/п</t>
  </si>
  <si>
    <t>Дата</t>
  </si>
  <si>
    <t>Кол-во</t>
  </si>
  <si>
    <t>Цена без НДС</t>
  </si>
  <si>
    <t>Стоимость без НДС</t>
  </si>
  <si>
    <t>ИТОГО</t>
  </si>
  <si>
    <t>Сдал:</t>
  </si>
  <si>
    <t>Принял:</t>
  </si>
  <si>
    <t>Остаток на начало периода</t>
  </si>
  <si>
    <t>Использовано за отчетный период</t>
  </si>
  <si>
    <t>Возвращено за отчетный период</t>
  </si>
  <si>
    <t>Остаток на конец периода</t>
  </si>
  <si>
    <t>Ед. изм</t>
  </si>
  <si>
    <t>№</t>
  </si>
  <si>
    <t xml:space="preserve">Подрядчик: </t>
  </si>
  <si>
    <r>
      <t>Объект:</t>
    </r>
    <r>
      <rPr>
        <sz val="10"/>
        <rFont val="Arial"/>
        <family val="2"/>
        <charset val="204"/>
      </rPr>
      <t xml:space="preserve"> </t>
    </r>
  </si>
  <si>
    <t>Стройка</t>
  </si>
  <si>
    <t xml:space="preserve">Документ использования </t>
  </si>
  <si>
    <t>№ документа</t>
  </si>
  <si>
    <t>об использовании давальческих  материалов и оборудования</t>
  </si>
  <si>
    <t>Оборудование/Материалы (наименование, тип, марка)</t>
  </si>
  <si>
    <t>Документ на отпуск оборудования/материалов  на сторону</t>
  </si>
  <si>
    <t>Номенклатурный номер</t>
  </si>
  <si>
    <t xml:space="preserve"> Отчет</t>
  </si>
  <si>
    <r>
      <t>Заказчик:</t>
    </r>
    <r>
      <rPr>
        <sz val="10"/>
        <rFont val="Arial"/>
        <family val="2"/>
        <charset val="204"/>
      </rPr>
      <t xml:space="preserve"> </t>
    </r>
  </si>
  <si>
    <t>Заказчик:</t>
  </si>
  <si>
    <t>Подрядчик:</t>
  </si>
  <si>
    <t>Приложение № 11</t>
  </si>
  <si>
    <t>к Договору подряда № ОПС-1774</t>
  </si>
  <si>
    <t>от «__» _______ 2026 г.</t>
  </si>
  <si>
    <t>____________________ В.И. Цыбульский</t>
  </si>
  <si>
    <t xml:space="preserve"> _______________________ С.В. Кузьминова</t>
  </si>
  <si>
    <t>ООО "Гранд Вэй"</t>
  </si>
  <si>
    <t>ООО "ОТЭКО"</t>
  </si>
  <si>
    <t>Фасонный элемент ФЭ-4</t>
  </si>
  <si>
    <t>шт.</t>
  </si>
  <si>
    <t>м</t>
  </si>
  <si>
    <t>компл</t>
  </si>
  <si>
    <t>п.м</t>
  </si>
  <si>
    <t>м2</t>
  </si>
  <si>
    <t xml:space="preserve">«Таманский терминал навалочных грузов Конвейерная галерея минеральных </t>
  </si>
  <si>
    <t>удобрений ГК-18 (тит. С2.9.3.5)»</t>
  </si>
  <si>
    <t>Саморез для сэндвич панелей 6,3/5,5х155 РТ5 с ЭПДМ резина</t>
  </si>
  <si>
    <t>Шуруп для профилированных листов HЕ5-R-Z19 5.5 x 38</t>
  </si>
  <si>
    <t>Шуруп для профилированных листов HE4-R-Z16 5.5 х 25</t>
  </si>
  <si>
    <t>Уплотнитель Н 75 нижний 0,75м</t>
  </si>
  <si>
    <t>Уплотнитель Н 75 верхний 0,75м</t>
  </si>
  <si>
    <t>Заклепка алюминий/сталь 4х10 KENNER-SRC</t>
  </si>
  <si>
    <t>Герметик Сазиласт 13  серый,600мл,СТО 118-37547621-2017;класса1 1П М ГОСТ Р 59522</t>
  </si>
  <si>
    <t>Пластина 2Н-II-АМС-С-5 5х550х440 мм</t>
  </si>
  <si>
    <t>Ограждение кровельное Snegos  "Эконом плюс-680" ОЦ ЭБК-КО-300/680-3000 с плоскоовальной трубой RAL 9006</t>
  </si>
  <si>
    <t>Снегозадержатель Snegos  Эконом ОЦ L-3000 RAL 9006 (Комплект: 4 стойки, 2 трубы, полный комплект метизов, порошковая покраска  Материал стоек и труб оцинкованный)</t>
  </si>
  <si>
    <t>Плоскоовальная труба снегозадержателя (Snegos) RAL 9006</t>
  </si>
  <si>
    <t>Панель трехслойная МВ К (120х1000х0,70/0,70х7047РVDF/9003PVDF)                   (L 5940)</t>
  </si>
  <si>
    <t>ФЭ-1 RAL9006 PVDF  0,7х380х2500-12 шт.</t>
  </si>
  <si>
    <t>ФЭ-2 RAL9006 PVDF  0,7х165х2500-12шт.</t>
  </si>
  <si>
    <t>ФЭ-3 RAL9006 PVDF  0,7х560х2500-5шт.</t>
  </si>
  <si>
    <t>ФЭ-4 RAL9006 PVDF  0,7х700х2500-12шт.</t>
  </si>
  <si>
    <t>Опорный элемент ОП-2 ОЦ 2,5х120х1250-9 шт. (С2.9.3.3)</t>
  </si>
  <si>
    <t>Желоб водосточный 20000 мм (ст) d185 (RAL 7047)</t>
  </si>
  <si>
    <t>Заглушка желоба (ст)  d 185, (RAL 7047)</t>
  </si>
  <si>
    <t>Крепление желоба полосы 20х4 (ст) 350 мм, d 185, (RAL 7047)</t>
  </si>
  <si>
    <t>Воронка желоба (ст) верхний d 180,нижний d150 (RAL 7047)</t>
  </si>
  <si>
    <t>Труба водосточная (ст) 2000мм d150 (RAL 7047)</t>
  </si>
  <si>
    <t>Крепление трубы со шпилькой М10 200 мм (ст) d150 (RAL 7047)</t>
  </si>
  <si>
    <t>Колено трубы (ст)  d 150 ,60 Град.(RAL 7047)</t>
  </si>
  <si>
    <t>ФЭ-6 RAL9006 PVDF  0,7х210х2500-38шт.</t>
  </si>
  <si>
    <t xml:space="preserve">Панель трехслойная МВ С (80х1000х0,70/0,70х5005РVDF/9003PVDF)                    (L 5400)                                                                                  </t>
  </si>
  <si>
    <t>Панель трехслойная МВ С (80х1000х0,70/0,70х5005РVDF/9003PVDF)                           (L 4200)</t>
  </si>
  <si>
    <t>Панель трехслойная МВ С(80х1000х0,70/0,70х9003РVDF/9003PVDF)                      (L 4200)</t>
  </si>
  <si>
    <t>Панель трехслойная МВ С(80х1000х0,70/0,70х2009РVDF/9003 РVDF)             (L 5400)</t>
  </si>
  <si>
    <t xml:space="preserve">Окна </t>
  </si>
  <si>
    <t>Лист профилированный НС75-750-0,8 двусторонее покрытие ПВДФ RAL: 7047/9003 L 5730 мм</t>
  </si>
  <si>
    <t>Поликарбонат ПЛМПКТ-1,3-4200-1050-ОРН-Пр-Глн</t>
  </si>
  <si>
    <t>Поликарбонат ПЛМПКТ-1,3-4200-1050-БЦ-Пр-Глн</t>
  </si>
  <si>
    <t>Поликарбонат ПЛМПКТ-1,3-5400-1050-ОРН-Пр-Глн</t>
  </si>
  <si>
    <t>Лист профилированный НС44-1000-0,8 двусторонее покрытие ПВДФ RAL5005/RAL9003 L 4200 мм</t>
  </si>
  <si>
    <t>Лист профилированный НС44-1000-0,8 двусторонее покрытие ПВДФ RAL5005/RAL9003 L 5400 мм</t>
  </si>
  <si>
    <t>Панель трехслойная 100х1000  L 2700 Цвет- белый</t>
  </si>
  <si>
    <t xml:space="preserve">Фасонный элемент ФЭ-1 </t>
  </si>
  <si>
    <t>Фасонный элемент ФЭ-2</t>
  </si>
  <si>
    <t>Фасонный элемент ФЭ-6</t>
  </si>
  <si>
    <t>М</t>
  </si>
  <si>
    <t>-</t>
  </si>
  <si>
    <t>1404/1</t>
  </si>
  <si>
    <t>1504/1</t>
  </si>
  <si>
    <t>1004/1</t>
  </si>
  <si>
    <t>б/н</t>
  </si>
  <si>
    <t>б/д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</si>
</sst>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  <font>
      <sz val="7"/>
      <name val="Arial"/>
      <family val="2"/>
      <charset val="204"/>
    </font>
    <font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Arial"/>
      <family val="2"/>
      <charset val="204"/>
    </font>
    <font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1">
    <xf numFmtId="0" fontId="0" fillId="0" borderId="0" xfId="0"/>
    <xf numFmtId="0" fontId="7" fillId="0" borderId="12" xfId="0" applyFont="1" applyFill="1" applyBorder="1" applyAlignment="1">
      <alignment vertical="center" wrapText="1"/>
    </xf>
    <xf numFmtId="0" fontId="4" fillId="0" borderId="0" xfId="0" applyFont="1" applyFill="1"/>
    <xf numFmtId="0" fontId="5" fillId="0" borderId="1" xfId="0" applyFont="1" applyFill="1" applyBorder="1"/>
    <xf numFmtId="0" fontId="2" fillId="0" borderId="1" xfId="0" applyFont="1" applyFill="1" applyBorder="1"/>
    <xf numFmtId="0" fontId="4" fillId="0" borderId="1" xfId="0" applyFont="1" applyFill="1" applyBorder="1"/>
    <xf numFmtId="0" fontId="2" fillId="0" borderId="0" xfId="0" applyFont="1" applyFill="1"/>
    <xf numFmtId="0" fontId="3" fillId="0" borderId="2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3" xfId="0" applyFont="1" applyFill="1" applyBorder="1"/>
    <xf numFmtId="0" fontId="3" fillId="0" borderId="3" xfId="0" applyFont="1" applyFill="1" applyBorder="1" applyAlignment="1">
      <alignment vertical="top"/>
    </xf>
    <xf numFmtId="0" fontId="4" fillId="0" borderId="3" xfId="0" applyFont="1" applyFill="1" applyBorder="1"/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vertical="top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9" fillId="0" borderId="0" xfId="0" applyFont="1" applyFill="1" applyAlignment="1">
      <alignment horizontal="center" wrapText="1"/>
    </xf>
    <xf numFmtId="0" fontId="10" fillId="0" borderId="0" xfId="0" applyFont="1" applyFill="1" applyAlignment="1">
      <alignment wrapText="1"/>
    </xf>
    <xf numFmtId="0" fontId="11" fillId="0" borderId="0" xfId="0" applyFont="1" applyFill="1" applyAlignment="1">
      <alignment horizontal="center"/>
    </xf>
    <xf numFmtId="0" fontId="4" fillId="0" borderId="19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/>
    </xf>
    <xf numFmtId="0" fontId="6" fillId="0" borderId="15" xfId="0" applyFont="1" applyFill="1" applyBorder="1" applyAlignment="1">
      <alignment horizontal="center"/>
    </xf>
    <xf numFmtId="0" fontId="6" fillId="0" borderId="41" xfId="0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vertical="center" wrapText="1"/>
    </xf>
    <xf numFmtId="49" fontId="4" fillId="0" borderId="9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/>
    </xf>
    <xf numFmtId="14" fontId="4" fillId="0" borderId="9" xfId="0" applyNumberFormat="1" applyFont="1" applyFill="1" applyBorder="1" applyAlignment="1">
      <alignment horizontal="center" vertical="center"/>
    </xf>
    <xf numFmtId="4" fontId="4" fillId="0" borderId="10" xfId="0" applyNumberFormat="1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4" fontId="4" fillId="0" borderId="8" xfId="0" applyNumberFormat="1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 wrapText="1"/>
    </xf>
    <xf numFmtId="49" fontId="4" fillId="0" borderId="11" xfId="0" applyNumberFormat="1" applyFont="1" applyFill="1" applyBorder="1" applyAlignment="1">
      <alignment horizontal="center" vertical="center"/>
    </xf>
    <xf numFmtId="14" fontId="4" fillId="0" borderId="12" xfId="0" applyNumberFormat="1" applyFont="1" applyFill="1" applyBorder="1" applyAlignment="1">
      <alignment horizontal="center" vertical="center"/>
    </xf>
    <xf numFmtId="4" fontId="4" fillId="0" borderId="13" xfId="0" applyNumberFormat="1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4" fontId="4" fillId="0" borderId="39" xfId="0" applyNumberFormat="1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vertical="center" wrapText="1"/>
    </xf>
    <xf numFmtId="0" fontId="4" fillId="0" borderId="39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vertical="center"/>
    </xf>
    <xf numFmtId="0" fontId="8" fillId="0" borderId="41" xfId="0" applyFont="1" applyFill="1" applyBorder="1" applyAlignment="1">
      <alignment vertical="center"/>
    </xf>
    <xf numFmtId="49" fontId="8" fillId="0" borderId="41" xfId="0" applyNumberFormat="1" applyFont="1" applyFill="1" applyBorder="1" applyAlignment="1">
      <alignment vertical="center"/>
    </xf>
    <xf numFmtId="0" fontId="8" fillId="0" borderId="15" xfId="0" applyFont="1" applyFill="1" applyBorder="1" applyAlignment="1">
      <alignment horizontal="center" vertical="center"/>
    </xf>
    <xf numFmtId="49" fontId="8" fillId="0" borderId="14" xfId="0" applyNumberFormat="1" applyFont="1" applyFill="1" applyBorder="1" applyAlignment="1">
      <alignment horizontal="center" vertical="center"/>
    </xf>
    <xf numFmtId="0" fontId="8" fillId="0" borderId="41" xfId="0" applyFont="1" applyFill="1" applyBorder="1" applyAlignment="1">
      <alignment horizontal="center" vertical="center"/>
    </xf>
    <xf numFmtId="4" fontId="8" fillId="0" borderId="17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4" fontId="8" fillId="0" borderId="17" xfId="0" applyNumberFormat="1" applyFont="1" applyFill="1" applyBorder="1" applyAlignment="1">
      <alignment horizontal="right" vertical="center"/>
    </xf>
    <xf numFmtId="0" fontId="8" fillId="0" borderId="18" xfId="0" applyFont="1" applyFill="1" applyBorder="1" applyAlignment="1">
      <alignment horizontal="center" vertical="center"/>
    </xf>
    <xf numFmtId="4" fontId="8" fillId="0" borderId="15" xfId="0" applyNumberFormat="1" applyFont="1" applyFill="1" applyBorder="1" applyAlignment="1">
      <alignment horizontal="right" vertical="center"/>
    </xf>
    <xf numFmtId="0" fontId="8" fillId="0" borderId="17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" fontId="4" fillId="0" borderId="0" xfId="0" applyNumberFormat="1" applyFont="1" applyFill="1"/>
    <xf numFmtId="0" fontId="4" fillId="0" borderId="0" xfId="0" applyFont="1" applyFill="1" applyAlignment="1">
      <alignment horizontal="right"/>
    </xf>
    <xf numFmtId="164" fontId="4" fillId="0" borderId="0" xfId="0" applyNumberFormat="1" applyFont="1" applyFill="1"/>
    <xf numFmtId="0" fontId="12" fillId="0" borderId="0" xfId="0" applyFont="1" applyFill="1" applyAlignment="1">
      <alignment vertical="center"/>
    </xf>
    <xf numFmtId="0" fontId="13" fillId="0" borderId="0" xfId="1" applyFont="1" applyFill="1"/>
    <xf numFmtId="0" fontId="8" fillId="0" borderId="0" xfId="0" applyFont="1" applyFill="1"/>
    <xf numFmtId="0" fontId="13" fillId="0" borderId="0" xfId="0" applyFont="1" applyFill="1"/>
    <xf numFmtId="0" fontId="12" fillId="0" borderId="0" xfId="0" applyFont="1" applyFill="1"/>
    <xf numFmtId="0" fontId="13" fillId="0" borderId="0" xfId="2" applyFont="1" applyFill="1"/>
    <xf numFmtId="14" fontId="4" fillId="2" borderId="29" xfId="0" applyNumberFormat="1" applyFont="1" applyFill="1" applyBorder="1" applyAlignment="1">
      <alignment horizontal="center" vertical="center"/>
    </xf>
    <xf numFmtId="14" fontId="4" fillId="2" borderId="30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4" fillId="2" borderId="1" xfId="0" applyFont="1" applyFill="1" applyBorder="1"/>
  </cellXfs>
  <cellStyles count="3">
    <cellStyle name="Обычный" xfId="0" builtinId="0"/>
    <cellStyle name="Обычный 2 17" xfId="1" xr:uid="{00000000-0005-0000-0000-000001000000}"/>
    <cellStyle name="Обычный 4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B363-FC1B-4552-972C-0F81FA4D88AE}">
  <sheetPr>
    <pageSetUpPr fitToPage="1"/>
  </sheetPr>
  <dimension ref="A1:R76"/>
  <sheetViews>
    <sheetView tabSelected="1" zoomScale="85" zoomScaleNormal="85" zoomScaleSheetLayoutView="85" workbookViewId="0"/>
  </sheetViews>
  <sheetFormatPr defaultRowHeight="12.75" x14ac:dyDescent="0.2"/>
  <cols>
    <col min="1" max="1" width="3.28515625" style="2" customWidth="1"/>
    <col min="2" max="2" width="25.140625" style="2" customWidth="1"/>
    <col min="3" max="3" width="15.28515625" style="2" customWidth="1"/>
    <col min="4" max="4" width="6.140625" style="2" customWidth="1"/>
    <col min="5" max="5" width="9.140625" style="2"/>
    <col min="6" max="6" width="10.42578125" style="2" customWidth="1"/>
    <col min="7" max="7" width="9.85546875" style="2" bestFit="1" customWidth="1"/>
    <col min="8" max="8" width="7.85546875" style="2" customWidth="1"/>
    <col min="9" max="9" width="13.7109375" style="2" customWidth="1"/>
    <col min="10" max="10" width="14.7109375" style="2" hidden="1" customWidth="1"/>
    <col min="11" max="11" width="8.28515625" style="2" customWidth="1"/>
    <col min="12" max="12" width="7.85546875" style="2" customWidth="1"/>
    <col min="13" max="13" width="11.5703125" style="2" customWidth="1"/>
    <col min="14" max="14" width="10.7109375" style="2" customWidth="1"/>
    <col min="15" max="15" width="10.28515625" style="2" bestFit="1" customWidth="1"/>
    <col min="16" max="16" width="7.85546875" style="2" customWidth="1"/>
    <col min="17" max="17" width="10.5703125" style="2" customWidth="1"/>
    <col min="18" max="18" width="10.85546875" style="2" customWidth="1"/>
    <col min="19" max="16384" width="9.140625" style="2"/>
  </cols>
  <sheetData>
    <row r="1" spans="2:18" x14ac:dyDescent="0.2">
      <c r="O1" s="2" t="s">
        <v>32</v>
      </c>
    </row>
    <row r="2" spans="2:18" x14ac:dyDescent="0.2">
      <c r="O2" s="2" t="s">
        <v>33</v>
      </c>
    </row>
    <row r="3" spans="2:18" ht="14.25" customHeight="1" x14ac:dyDescent="0.2">
      <c r="B3" s="3"/>
      <c r="C3" s="4"/>
      <c r="D3" s="4"/>
      <c r="E3" s="4"/>
      <c r="F3" s="4"/>
      <c r="G3" s="5"/>
      <c r="H3" s="5"/>
      <c r="I3" s="4"/>
      <c r="J3" s="6"/>
      <c r="L3" s="6"/>
      <c r="O3" s="2" t="s">
        <v>34</v>
      </c>
    </row>
    <row r="4" spans="2:18" ht="6" customHeight="1" x14ac:dyDescent="0.2">
      <c r="C4" s="7"/>
      <c r="D4" s="7"/>
      <c r="E4" s="8"/>
      <c r="F4" s="7"/>
      <c r="I4" s="7"/>
      <c r="J4" s="8"/>
      <c r="L4" s="8"/>
      <c r="M4" s="8"/>
      <c r="N4" s="8"/>
    </row>
    <row r="5" spans="2:18" ht="12.75" customHeight="1" x14ac:dyDescent="0.2">
      <c r="B5" s="3" t="s">
        <v>19</v>
      </c>
      <c r="C5" s="5" t="s">
        <v>37</v>
      </c>
      <c r="D5" s="4"/>
      <c r="E5" s="4"/>
      <c r="F5" s="4"/>
      <c r="G5" s="5"/>
      <c r="H5" s="5"/>
      <c r="I5" s="4"/>
      <c r="J5" s="6"/>
      <c r="L5" s="6"/>
      <c r="M5" s="6"/>
      <c r="N5" s="6"/>
    </row>
    <row r="6" spans="2:18" ht="6" customHeight="1" x14ac:dyDescent="0.2">
      <c r="D6" s="9"/>
      <c r="E6" s="9"/>
      <c r="L6" s="9"/>
    </row>
    <row r="7" spans="2:18" ht="12.75" customHeight="1" x14ac:dyDescent="0.2">
      <c r="B7" s="3" t="s">
        <v>29</v>
      </c>
      <c r="C7" s="5" t="s">
        <v>38</v>
      </c>
      <c r="D7" s="4"/>
      <c r="E7" s="4"/>
      <c r="F7" s="4"/>
      <c r="G7" s="5"/>
      <c r="H7" s="5"/>
      <c r="I7" s="4"/>
      <c r="J7" s="6"/>
      <c r="L7" s="6"/>
      <c r="M7" s="6"/>
      <c r="N7" s="6"/>
    </row>
    <row r="8" spans="2:18" x14ac:dyDescent="0.2">
      <c r="B8" s="10" t="s">
        <v>21</v>
      </c>
      <c r="C8" s="11"/>
      <c r="D8" s="12"/>
      <c r="E8" s="12"/>
      <c r="F8" s="11"/>
      <c r="G8" s="12"/>
      <c r="H8" s="12"/>
      <c r="I8" s="11"/>
      <c r="J8" s="13"/>
      <c r="M8" s="14"/>
      <c r="N8" s="14"/>
    </row>
    <row r="9" spans="2:18" ht="6" customHeight="1" x14ac:dyDescent="0.2">
      <c r="D9" s="9"/>
      <c r="E9" s="9"/>
      <c r="L9" s="9"/>
    </row>
    <row r="10" spans="2:18" ht="12.75" customHeight="1" x14ac:dyDescent="0.2">
      <c r="B10" s="3" t="s">
        <v>20</v>
      </c>
      <c r="C10" s="15" t="s">
        <v>45</v>
      </c>
      <c r="D10" s="15"/>
      <c r="E10" s="15"/>
      <c r="F10" s="15"/>
      <c r="G10" s="15"/>
      <c r="H10" s="15"/>
      <c r="I10" s="15"/>
      <c r="J10" s="6"/>
      <c r="L10" s="6"/>
      <c r="M10" s="6"/>
      <c r="N10" s="6"/>
    </row>
    <row r="11" spans="2:18" ht="13.15" customHeight="1" thickBot="1" x14ac:dyDescent="0.25">
      <c r="C11" s="16" t="s">
        <v>46</v>
      </c>
      <c r="D11" s="16"/>
      <c r="E11" s="16"/>
      <c r="F11" s="5"/>
      <c r="G11" s="5"/>
      <c r="H11" s="5"/>
      <c r="I11" s="5"/>
    </row>
    <row r="12" spans="2:18" ht="13.5" hidden="1" thickBot="1" x14ac:dyDescent="0.25"/>
    <row r="13" spans="2:18" ht="12.75" customHeight="1" x14ac:dyDescent="0.2">
      <c r="G13" s="8"/>
      <c r="H13" s="8"/>
      <c r="M13" s="17" t="s">
        <v>1</v>
      </c>
      <c r="N13" s="18"/>
      <c r="O13" s="19" t="s">
        <v>2</v>
      </c>
      <c r="P13" s="20"/>
      <c r="Q13" s="21" t="s">
        <v>0</v>
      </c>
      <c r="R13" s="22"/>
    </row>
    <row r="14" spans="2:18" ht="13.5" customHeight="1" x14ac:dyDescent="0.2">
      <c r="G14" s="23"/>
      <c r="H14" s="23"/>
      <c r="M14" s="24"/>
      <c r="N14" s="25"/>
      <c r="O14" s="26"/>
      <c r="P14" s="27"/>
      <c r="Q14" s="28" t="s">
        <v>3</v>
      </c>
      <c r="R14" s="29" t="s">
        <v>4</v>
      </c>
    </row>
    <row r="15" spans="2:18" ht="13.5" thickBot="1" x14ac:dyDescent="0.25">
      <c r="G15" s="30"/>
      <c r="H15" s="30"/>
      <c r="M15" s="31">
        <v>2</v>
      </c>
      <c r="N15" s="32"/>
      <c r="O15" s="106"/>
      <c r="P15" s="107"/>
      <c r="Q15" s="108"/>
      <c r="R15" s="109"/>
    </row>
    <row r="16" spans="2:18" ht="20.45" customHeight="1" x14ac:dyDescent="0.25">
      <c r="H16" s="33" t="s">
        <v>28</v>
      </c>
      <c r="I16" s="34"/>
      <c r="J16" s="34"/>
    </row>
    <row r="17" spans="1:18" ht="15" x14ac:dyDescent="0.25">
      <c r="I17" s="35" t="s">
        <v>24</v>
      </c>
    </row>
    <row r="18" spans="1:18" ht="13.5" thickBot="1" x14ac:dyDescent="0.25"/>
    <row r="19" spans="1:18" ht="35.450000000000003" customHeight="1" x14ac:dyDescent="0.2">
      <c r="A19" s="36" t="s">
        <v>5</v>
      </c>
      <c r="B19" s="37" t="s">
        <v>25</v>
      </c>
      <c r="C19" s="38" t="s">
        <v>27</v>
      </c>
      <c r="D19" s="39" t="s">
        <v>17</v>
      </c>
      <c r="E19" s="40" t="s">
        <v>26</v>
      </c>
      <c r="F19" s="41"/>
      <c r="G19" s="42"/>
      <c r="H19" s="36" t="s">
        <v>13</v>
      </c>
      <c r="I19" s="43"/>
      <c r="J19" s="41" t="s">
        <v>14</v>
      </c>
      <c r="K19" s="41"/>
      <c r="L19" s="41"/>
      <c r="M19" s="41"/>
      <c r="N19" s="40" t="s">
        <v>15</v>
      </c>
      <c r="O19" s="41"/>
      <c r="P19" s="42"/>
      <c r="Q19" s="44" t="s">
        <v>16</v>
      </c>
      <c r="R19" s="43"/>
    </row>
    <row r="20" spans="1:18" ht="26.25" thickBot="1" x14ac:dyDescent="0.25">
      <c r="A20" s="45"/>
      <c r="B20" s="46"/>
      <c r="C20" s="47"/>
      <c r="D20" s="48"/>
      <c r="E20" s="49" t="s">
        <v>18</v>
      </c>
      <c r="F20" s="50" t="s">
        <v>6</v>
      </c>
      <c r="G20" s="51" t="s">
        <v>8</v>
      </c>
      <c r="H20" s="52" t="s">
        <v>7</v>
      </c>
      <c r="I20" s="53" t="s">
        <v>9</v>
      </c>
      <c r="J20" s="54" t="s">
        <v>22</v>
      </c>
      <c r="K20" s="55"/>
      <c r="L20" s="50" t="s">
        <v>7</v>
      </c>
      <c r="M20" s="56" t="s">
        <v>9</v>
      </c>
      <c r="N20" s="52" t="s">
        <v>23</v>
      </c>
      <c r="O20" s="50" t="s">
        <v>6</v>
      </c>
      <c r="P20" s="53" t="s">
        <v>7</v>
      </c>
      <c r="Q20" s="54" t="s">
        <v>7</v>
      </c>
      <c r="R20" s="53" t="s">
        <v>9</v>
      </c>
    </row>
    <row r="21" spans="1:18" ht="13.5" thickBot="1" x14ac:dyDescent="0.25">
      <c r="A21" s="57">
        <v>1</v>
      </c>
      <c r="B21" s="58">
        <v>2</v>
      </c>
      <c r="C21" s="58">
        <v>3</v>
      </c>
      <c r="D21" s="58">
        <v>4</v>
      </c>
      <c r="E21" s="57">
        <v>5</v>
      </c>
      <c r="F21" s="59">
        <v>6</v>
      </c>
      <c r="G21" s="60">
        <v>7</v>
      </c>
      <c r="H21" s="57">
        <v>8</v>
      </c>
      <c r="I21" s="60">
        <v>9</v>
      </c>
      <c r="J21" s="61">
        <v>10</v>
      </c>
      <c r="K21" s="61">
        <v>10</v>
      </c>
      <c r="L21" s="57">
        <v>11</v>
      </c>
      <c r="M21" s="58">
        <v>12</v>
      </c>
      <c r="N21" s="57">
        <v>13</v>
      </c>
      <c r="O21" s="59">
        <v>14</v>
      </c>
      <c r="P21" s="60">
        <v>15</v>
      </c>
      <c r="Q21" s="62">
        <v>16</v>
      </c>
      <c r="R21" s="60">
        <v>17</v>
      </c>
    </row>
    <row r="22" spans="1:18" ht="38.25" x14ac:dyDescent="0.2">
      <c r="A22" s="63">
        <v>1</v>
      </c>
      <c r="B22" s="64" t="s">
        <v>47</v>
      </c>
      <c r="C22" s="65"/>
      <c r="D22" s="66" t="s">
        <v>40</v>
      </c>
      <c r="E22" s="67" t="s">
        <v>92</v>
      </c>
      <c r="F22" s="68" t="s">
        <v>93</v>
      </c>
      <c r="G22" s="69" t="s">
        <v>88</v>
      </c>
      <c r="H22" s="63">
        <v>232</v>
      </c>
      <c r="I22" s="69" t="s">
        <v>88</v>
      </c>
      <c r="J22" s="70"/>
      <c r="K22" s="71"/>
      <c r="L22" s="71">
        <f t="shared" ref="L22:L63" si="0">H22</f>
        <v>232</v>
      </c>
      <c r="M22" s="72" t="s">
        <v>88</v>
      </c>
      <c r="N22" s="67" t="s">
        <v>88</v>
      </c>
      <c r="O22" s="68" t="s">
        <v>88</v>
      </c>
      <c r="P22" s="73" t="s">
        <v>88</v>
      </c>
      <c r="Q22" s="70" t="s">
        <v>88</v>
      </c>
      <c r="R22" s="69" t="s">
        <v>88</v>
      </c>
    </row>
    <row r="23" spans="1:18" ht="38.25" x14ac:dyDescent="0.2">
      <c r="A23" s="28">
        <v>2</v>
      </c>
      <c r="B23" s="1" t="s">
        <v>48</v>
      </c>
      <c r="C23" s="74"/>
      <c r="D23" s="75" t="s">
        <v>40</v>
      </c>
      <c r="E23" s="76" t="s">
        <v>92</v>
      </c>
      <c r="F23" s="77" t="s">
        <v>93</v>
      </c>
      <c r="G23" s="78" t="s">
        <v>88</v>
      </c>
      <c r="H23" s="28">
        <v>1648</v>
      </c>
      <c r="I23" s="78" t="s">
        <v>88</v>
      </c>
      <c r="J23" s="79"/>
      <c r="K23" s="80"/>
      <c r="L23" s="80">
        <f t="shared" si="0"/>
        <v>1648</v>
      </c>
      <c r="M23" s="81" t="s">
        <v>88</v>
      </c>
      <c r="N23" s="76" t="s">
        <v>88</v>
      </c>
      <c r="O23" s="77" t="s">
        <v>88</v>
      </c>
      <c r="P23" s="29" t="s">
        <v>88</v>
      </c>
      <c r="Q23" s="79" t="s">
        <v>88</v>
      </c>
      <c r="R23" s="78" t="s">
        <v>88</v>
      </c>
    </row>
    <row r="24" spans="1:18" ht="38.25" x14ac:dyDescent="0.2">
      <c r="A24" s="28">
        <v>3</v>
      </c>
      <c r="B24" s="1" t="s">
        <v>49</v>
      </c>
      <c r="C24" s="74"/>
      <c r="D24" s="75" t="s">
        <v>40</v>
      </c>
      <c r="E24" s="76" t="s">
        <v>92</v>
      </c>
      <c r="F24" s="77" t="s">
        <v>93</v>
      </c>
      <c r="G24" s="78" t="s">
        <v>88</v>
      </c>
      <c r="H24" s="28">
        <v>2018</v>
      </c>
      <c r="I24" s="78" t="s">
        <v>88</v>
      </c>
      <c r="J24" s="79"/>
      <c r="K24" s="80"/>
      <c r="L24" s="80">
        <f t="shared" si="0"/>
        <v>2018</v>
      </c>
      <c r="M24" s="81" t="s">
        <v>88</v>
      </c>
      <c r="N24" s="76" t="s">
        <v>88</v>
      </c>
      <c r="O24" s="77" t="s">
        <v>88</v>
      </c>
      <c r="P24" s="29" t="s">
        <v>88</v>
      </c>
      <c r="Q24" s="79" t="s">
        <v>88</v>
      </c>
      <c r="R24" s="78" t="s">
        <v>88</v>
      </c>
    </row>
    <row r="25" spans="1:18" ht="25.5" x14ac:dyDescent="0.2">
      <c r="A25" s="28">
        <v>4</v>
      </c>
      <c r="B25" s="1" t="s">
        <v>50</v>
      </c>
      <c r="C25" s="74"/>
      <c r="D25" s="75" t="s">
        <v>40</v>
      </c>
      <c r="E25" s="76" t="s">
        <v>92</v>
      </c>
      <c r="F25" s="77" t="s">
        <v>93</v>
      </c>
      <c r="G25" s="78" t="s">
        <v>88</v>
      </c>
      <c r="H25" s="28">
        <v>38</v>
      </c>
      <c r="I25" s="78" t="s">
        <v>88</v>
      </c>
      <c r="J25" s="79"/>
      <c r="K25" s="80"/>
      <c r="L25" s="80">
        <f t="shared" si="0"/>
        <v>38</v>
      </c>
      <c r="M25" s="81" t="s">
        <v>88</v>
      </c>
      <c r="N25" s="76" t="s">
        <v>88</v>
      </c>
      <c r="O25" s="77" t="s">
        <v>88</v>
      </c>
      <c r="P25" s="29" t="s">
        <v>88</v>
      </c>
      <c r="Q25" s="79" t="s">
        <v>88</v>
      </c>
      <c r="R25" s="78" t="s">
        <v>88</v>
      </c>
    </row>
    <row r="26" spans="1:18" ht="25.5" x14ac:dyDescent="0.2">
      <c r="A26" s="28">
        <v>5</v>
      </c>
      <c r="B26" s="82" t="s">
        <v>51</v>
      </c>
      <c r="C26" s="74"/>
      <c r="D26" s="83" t="s">
        <v>40</v>
      </c>
      <c r="E26" s="76" t="s">
        <v>92</v>
      </c>
      <c r="F26" s="77" t="s">
        <v>93</v>
      </c>
      <c r="G26" s="78" t="s">
        <v>88</v>
      </c>
      <c r="H26" s="28">
        <v>38</v>
      </c>
      <c r="I26" s="78" t="s">
        <v>88</v>
      </c>
      <c r="J26" s="79"/>
      <c r="K26" s="80"/>
      <c r="L26" s="80">
        <f t="shared" si="0"/>
        <v>38</v>
      </c>
      <c r="M26" s="81" t="s">
        <v>88</v>
      </c>
      <c r="N26" s="76" t="s">
        <v>88</v>
      </c>
      <c r="O26" s="77" t="s">
        <v>88</v>
      </c>
      <c r="P26" s="29" t="s">
        <v>88</v>
      </c>
      <c r="Q26" s="79" t="s">
        <v>88</v>
      </c>
      <c r="R26" s="78" t="s">
        <v>88</v>
      </c>
    </row>
    <row r="27" spans="1:18" ht="25.5" x14ac:dyDescent="0.2">
      <c r="A27" s="28">
        <v>6</v>
      </c>
      <c r="B27" s="82" t="s">
        <v>52</v>
      </c>
      <c r="C27" s="74"/>
      <c r="D27" s="83" t="s">
        <v>40</v>
      </c>
      <c r="E27" s="76" t="s">
        <v>92</v>
      </c>
      <c r="F27" s="77" t="s">
        <v>93</v>
      </c>
      <c r="G27" s="78" t="s">
        <v>88</v>
      </c>
      <c r="H27" s="28">
        <v>1000</v>
      </c>
      <c r="I27" s="78" t="s">
        <v>88</v>
      </c>
      <c r="J27" s="79"/>
      <c r="K27" s="80"/>
      <c r="L27" s="80">
        <f t="shared" si="0"/>
        <v>1000</v>
      </c>
      <c r="M27" s="81" t="s">
        <v>88</v>
      </c>
      <c r="N27" s="76" t="s">
        <v>88</v>
      </c>
      <c r="O27" s="77" t="s">
        <v>88</v>
      </c>
      <c r="P27" s="29" t="s">
        <v>88</v>
      </c>
      <c r="Q27" s="79" t="s">
        <v>88</v>
      </c>
      <c r="R27" s="78" t="s">
        <v>88</v>
      </c>
    </row>
    <row r="28" spans="1:18" ht="51" x14ac:dyDescent="0.2">
      <c r="A28" s="28">
        <v>7</v>
      </c>
      <c r="B28" s="1" t="s">
        <v>53</v>
      </c>
      <c r="C28" s="74"/>
      <c r="D28" s="75" t="s">
        <v>40</v>
      </c>
      <c r="E28" s="76" t="s">
        <v>92</v>
      </c>
      <c r="F28" s="77" t="s">
        <v>93</v>
      </c>
      <c r="G28" s="78" t="s">
        <v>88</v>
      </c>
      <c r="H28" s="28">
        <v>10</v>
      </c>
      <c r="I28" s="78" t="s">
        <v>88</v>
      </c>
      <c r="J28" s="79"/>
      <c r="K28" s="80"/>
      <c r="L28" s="80">
        <f t="shared" si="0"/>
        <v>10</v>
      </c>
      <c r="M28" s="81" t="s">
        <v>88</v>
      </c>
      <c r="N28" s="76" t="s">
        <v>88</v>
      </c>
      <c r="O28" s="77" t="s">
        <v>88</v>
      </c>
      <c r="P28" s="29" t="s">
        <v>88</v>
      </c>
      <c r="Q28" s="79" t="s">
        <v>88</v>
      </c>
      <c r="R28" s="78" t="s">
        <v>88</v>
      </c>
    </row>
    <row r="29" spans="1:18" ht="25.5" x14ac:dyDescent="0.2">
      <c r="A29" s="28">
        <v>8</v>
      </c>
      <c r="B29" s="1" t="s">
        <v>54</v>
      </c>
      <c r="C29" s="74"/>
      <c r="D29" s="75" t="s">
        <v>40</v>
      </c>
      <c r="E29" s="76" t="s">
        <v>92</v>
      </c>
      <c r="F29" s="77" t="s">
        <v>93</v>
      </c>
      <c r="G29" s="78" t="s">
        <v>88</v>
      </c>
      <c r="H29" s="28">
        <v>6</v>
      </c>
      <c r="I29" s="78" t="s">
        <v>88</v>
      </c>
      <c r="J29" s="79"/>
      <c r="K29" s="80"/>
      <c r="L29" s="80">
        <f t="shared" si="0"/>
        <v>6</v>
      </c>
      <c r="M29" s="81" t="s">
        <v>88</v>
      </c>
      <c r="N29" s="76" t="s">
        <v>88</v>
      </c>
      <c r="O29" s="77" t="s">
        <v>88</v>
      </c>
      <c r="P29" s="29" t="s">
        <v>88</v>
      </c>
      <c r="Q29" s="79" t="s">
        <v>88</v>
      </c>
      <c r="R29" s="78" t="s">
        <v>88</v>
      </c>
    </row>
    <row r="30" spans="1:18" ht="63.75" x14ac:dyDescent="0.2">
      <c r="A30" s="28">
        <v>9</v>
      </c>
      <c r="B30" s="1" t="s">
        <v>55</v>
      </c>
      <c r="C30" s="74"/>
      <c r="D30" s="75" t="s">
        <v>87</v>
      </c>
      <c r="E30" s="76" t="s">
        <v>92</v>
      </c>
      <c r="F30" s="77">
        <v>46130</v>
      </c>
      <c r="G30" s="78" t="s">
        <v>88</v>
      </c>
      <c r="H30" s="28">
        <v>78</v>
      </c>
      <c r="I30" s="78" t="s">
        <v>88</v>
      </c>
      <c r="J30" s="79"/>
      <c r="K30" s="80"/>
      <c r="L30" s="80">
        <f t="shared" si="0"/>
        <v>78</v>
      </c>
      <c r="M30" s="81" t="s">
        <v>88</v>
      </c>
      <c r="N30" s="76" t="s">
        <v>88</v>
      </c>
      <c r="O30" s="77" t="s">
        <v>88</v>
      </c>
      <c r="P30" s="29" t="s">
        <v>88</v>
      </c>
      <c r="Q30" s="79" t="s">
        <v>88</v>
      </c>
      <c r="R30" s="78" t="s">
        <v>88</v>
      </c>
    </row>
    <row r="31" spans="1:18" ht="89.25" x14ac:dyDescent="0.2">
      <c r="A31" s="28">
        <v>10</v>
      </c>
      <c r="B31" s="1" t="s">
        <v>56</v>
      </c>
      <c r="C31" s="74"/>
      <c r="D31" s="75" t="s">
        <v>42</v>
      </c>
      <c r="E31" s="76" t="s">
        <v>92</v>
      </c>
      <c r="F31" s="77" t="s">
        <v>93</v>
      </c>
      <c r="G31" s="78" t="s">
        <v>88</v>
      </c>
      <c r="H31" s="28">
        <v>12</v>
      </c>
      <c r="I31" s="78" t="s">
        <v>88</v>
      </c>
      <c r="J31" s="79"/>
      <c r="K31" s="80"/>
      <c r="L31" s="80">
        <f t="shared" si="0"/>
        <v>12</v>
      </c>
      <c r="M31" s="81" t="s">
        <v>88</v>
      </c>
      <c r="N31" s="76" t="s">
        <v>88</v>
      </c>
      <c r="O31" s="77" t="s">
        <v>88</v>
      </c>
      <c r="P31" s="29" t="s">
        <v>88</v>
      </c>
      <c r="Q31" s="79" t="s">
        <v>88</v>
      </c>
      <c r="R31" s="78" t="s">
        <v>88</v>
      </c>
    </row>
    <row r="32" spans="1:18" ht="38.25" x14ac:dyDescent="0.2">
      <c r="A32" s="28">
        <v>11</v>
      </c>
      <c r="B32" s="1" t="s">
        <v>57</v>
      </c>
      <c r="C32" s="74"/>
      <c r="D32" s="75" t="s">
        <v>41</v>
      </c>
      <c r="E32" s="76" t="s">
        <v>92</v>
      </c>
      <c r="F32" s="77" t="s">
        <v>93</v>
      </c>
      <c r="G32" s="78" t="s">
        <v>88</v>
      </c>
      <c r="H32" s="28">
        <v>72</v>
      </c>
      <c r="I32" s="78" t="s">
        <v>88</v>
      </c>
      <c r="J32" s="79"/>
      <c r="K32" s="80"/>
      <c r="L32" s="80">
        <f t="shared" si="0"/>
        <v>72</v>
      </c>
      <c r="M32" s="81" t="s">
        <v>88</v>
      </c>
      <c r="N32" s="76" t="s">
        <v>88</v>
      </c>
      <c r="O32" s="77" t="s">
        <v>88</v>
      </c>
      <c r="P32" s="29" t="s">
        <v>88</v>
      </c>
      <c r="Q32" s="79" t="s">
        <v>88</v>
      </c>
      <c r="R32" s="78" t="s">
        <v>88</v>
      </c>
    </row>
    <row r="33" spans="1:18" ht="51" x14ac:dyDescent="0.2">
      <c r="A33" s="28">
        <v>12</v>
      </c>
      <c r="B33" s="1" t="s">
        <v>58</v>
      </c>
      <c r="C33" s="74"/>
      <c r="D33" s="75" t="s">
        <v>44</v>
      </c>
      <c r="E33" s="76" t="s">
        <v>91</v>
      </c>
      <c r="F33" s="77">
        <v>46122</v>
      </c>
      <c r="G33" s="78" t="s">
        <v>88</v>
      </c>
      <c r="H33" s="28">
        <v>77.22</v>
      </c>
      <c r="I33" s="78" t="s">
        <v>88</v>
      </c>
      <c r="J33" s="79"/>
      <c r="K33" s="80"/>
      <c r="L33" s="80">
        <f t="shared" si="0"/>
        <v>77.22</v>
      </c>
      <c r="M33" s="81" t="s">
        <v>88</v>
      </c>
      <c r="N33" s="76" t="s">
        <v>88</v>
      </c>
      <c r="O33" s="77" t="s">
        <v>88</v>
      </c>
      <c r="P33" s="29" t="s">
        <v>88</v>
      </c>
      <c r="Q33" s="79" t="s">
        <v>88</v>
      </c>
      <c r="R33" s="78" t="s">
        <v>88</v>
      </c>
    </row>
    <row r="34" spans="1:18" ht="25.5" x14ac:dyDescent="0.2">
      <c r="A34" s="28">
        <v>13</v>
      </c>
      <c r="B34" s="1" t="s">
        <v>59</v>
      </c>
      <c r="C34" s="74"/>
      <c r="D34" s="75" t="s">
        <v>43</v>
      </c>
      <c r="E34" s="76" t="s">
        <v>89</v>
      </c>
      <c r="F34" s="77">
        <v>46126</v>
      </c>
      <c r="G34" s="78" t="s">
        <v>88</v>
      </c>
      <c r="H34" s="28">
        <v>30</v>
      </c>
      <c r="I34" s="78" t="s">
        <v>88</v>
      </c>
      <c r="J34" s="79"/>
      <c r="K34" s="80"/>
      <c r="L34" s="80">
        <f t="shared" si="0"/>
        <v>30</v>
      </c>
      <c r="M34" s="81" t="s">
        <v>88</v>
      </c>
      <c r="N34" s="76" t="s">
        <v>88</v>
      </c>
      <c r="O34" s="77" t="s">
        <v>88</v>
      </c>
      <c r="P34" s="29" t="s">
        <v>88</v>
      </c>
      <c r="Q34" s="79" t="s">
        <v>88</v>
      </c>
      <c r="R34" s="78" t="s">
        <v>88</v>
      </c>
    </row>
    <row r="35" spans="1:18" ht="25.5" x14ac:dyDescent="0.2">
      <c r="A35" s="28">
        <v>14</v>
      </c>
      <c r="B35" s="1" t="s">
        <v>60</v>
      </c>
      <c r="C35" s="74"/>
      <c r="D35" s="75" t="s">
        <v>43</v>
      </c>
      <c r="E35" s="76" t="s">
        <v>89</v>
      </c>
      <c r="F35" s="77">
        <v>46126</v>
      </c>
      <c r="G35" s="78" t="s">
        <v>88</v>
      </c>
      <c r="H35" s="28">
        <v>30</v>
      </c>
      <c r="I35" s="78" t="s">
        <v>88</v>
      </c>
      <c r="J35" s="79"/>
      <c r="K35" s="80"/>
      <c r="L35" s="80">
        <f t="shared" si="0"/>
        <v>30</v>
      </c>
      <c r="M35" s="81" t="s">
        <v>88</v>
      </c>
      <c r="N35" s="76" t="s">
        <v>88</v>
      </c>
      <c r="O35" s="77" t="s">
        <v>88</v>
      </c>
      <c r="P35" s="29" t="s">
        <v>88</v>
      </c>
      <c r="Q35" s="79" t="s">
        <v>88</v>
      </c>
      <c r="R35" s="78" t="s">
        <v>88</v>
      </c>
    </row>
    <row r="36" spans="1:18" ht="25.5" x14ac:dyDescent="0.2">
      <c r="A36" s="28">
        <v>15</v>
      </c>
      <c r="B36" s="1" t="s">
        <v>61</v>
      </c>
      <c r="C36" s="74"/>
      <c r="D36" s="75" t="s">
        <v>43</v>
      </c>
      <c r="E36" s="76" t="s">
        <v>89</v>
      </c>
      <c r="F36" s="77">
        <v>46126</v>
      </c>
      <c r="G36" s="78" t="s">
        <v>88</v>
      </c>
      <c r="H36" s="28">
        <v>12.5</v>
      </c>
      <c r="I36" s="78" t="s">
        <v>88</v>
      </c>
      <c r="J36" s="79"/>
      <c r="K36" s="80"/>
      <c r="L36" s="80">
        <f t="shared" si="0"/>
        <v>12.5</v>
      </c>
      <c r="M36" s="81" t="s">
        <v>88</v>
      </c>
      <c r="N36" s="76" t="s">
        <v>88</v>
      </c>
      <c r="O36" s="77" t="s">
        <v>88</v>
      </c>
      <c r="P36" s="29" t="s">
        <v>88</v>
      </c>
      <c r="Q36" s="79" t="s">
        <v>88</v>
      </c>
      <c r="R36" s="78" t="s">
        <v>88</v>
      </c>
    </row>
    <row r="37" spans="1:18" ht="25.5" x14ac:dyDescent="0.2">
      <c r="A37" s="28">
        <v>16</v>
      </c>
      <c r="B37" s="1" t="s">
        <v>62</v>
      </c>
      <c r="C37" s="74"/>
      <c r="D37" s="75" t="s">
        <v>43</v>
      </c>
      <c r="E37" s="76" t="s">
        <v>89</v>
      </c>
      <c r="F37" s="77">
        <v>46126</v>
      </c>
      <c r="G37" s="78" t="s">
        <v>88</v>
      </c>
      <c r="H37" s="28">
        <v>30</v>
      </c>
      <c r="I37" s="78" t="s">
        <v>88</v>
      </c>
      <c r="J37" s="79"/>
      <c r="K37" s="80"/>
      <c r="L37" s="80">
        <f t="shared" si="0"/>
        <v>30</v>
      </c>
      <c r="M37" s="81" t="s">
        <v>88</v>
      </c>
      <c r="N37" s="76" t="s">
        <v>88</v>
      </c>
      <c r="O37" s="77" t="s">
        <v>88</v>
      </c>
      <c r="P37" s="29" t="s">
        <v>88</v>
      </c>
      <c r="Q37" s="79" t="s">
        <v>88</v>
      </c>
      <c r="R37" s="78" t="s">
        <v>88</v>
      </c>
    </row>
    <row r="38" spans="1:18" ht="38.25" x14ac:dyDescent="0.2">
      <c r="A38" s="28">
        <v>17</v>
      </c>
      <c r="B38" s="1" t="s">
        <v>63</v>
      </c>
      <c r="C38" s="74"/>
      <c r="D38" s="75" t="s">
        <v>43</v>
      </c>
      <c r="E38" s="76" t="s">
        <v>89</v>
      </c>
      <c r="F38" s="77">
        <v>46126</v>
      </c>
      <c r="G38" s="78" t="s">
        <v>88</v>
      </c>
      <c r="H38" s="28">
        <v>11.25</v>
      </c>
      <c r="I38" s="78" t="s">
        <v>88</v>
      </c>
      <c r="J38" s="79"/>
      <c r="K38" s="80"/>
      <c r="L38" s="80">
        <f t="shared" si="0"/>
        <v>11.25</v>
      </c>
      <c r="M38" s="81" t="s">
        <v>88</v>
      </c>
      <c r="N38" s="76" t="s">
        <v>88</v>
      </c>
      <c r="O38" s="77" t="s">
        <v>88</v>
      </c>
      <c r="P38" s="29" t="s">
        <v>88</v>
      </c>
      <c r="Q38" s="79" t="s">
        <v>88</v>
      </c>
      <c r="R38" s="78" t="s">
        <v>88</v>
      </c>
    </row>
    <row r="39" spans="1:18" ht="25.5" x14ac:dyDescent="0.2">
      <c r="A39" s="28">
        <v>18</v>
      </c>
      <c r="B39" s="1" t="s">
        <v>64</v>
      </c>
      <c r="C39" s="74"/>
      <c r="D39" s="75" t="s">
        <v>40</v>
      </c>
      <c r="E39" s="76" t="s">
        <v>90</v>
      </c>
      <c r="F39" s="77">
        <v>46127</v>
      </c>
      <c r="G39" s="78" t="s">
        <v>88</v>
      </c>
      <c r="H39" s="28">
        <v>20</v>
      </c>
      <c r="I39" s="78" t="s">
        <v>88</v>
      </c>
      <c r="J39" s="79"/>
      <c r="K39" s="80"/>
      <c r="L39" s="80">
        <f t="shared" si="0"/>
        <v>20</v>
      </c>
      <c r="M39" s="81" t="s">
        <v>88</v>
      </c>
      <c r="N39" s="76" t="s">
        <v>88</v>
      </c>
      <c r="O39" s="77" t="s">
        <v>88</v>
      </c>
      <c r="P39" s="29" t="s">
        <v>88</v>
      </c>
      <c r="Q39" s="79" t="s">
        <v>88</v>
      </c>
      <c r="R39" s="78" t="s">
        <v>88</v>
      </c>
    </row>
    <row r="40" spans="1:18" ht="25.5" x14ac:dyDescent="0.2">
      <c r="A40" s="28">
        <v>19</v>
      </c>
      <c r="B40" s="1" t="s">
        <v>65</v>
      </c>
      <c r="C40" s="74"/>
      <c r="D40" s="75" t="s">
        <v>40</v>
      </c>
      <c r="E40" s="76" t="s">
        <v>90</v>
      </c>
      <c r="F40" s="77">
        <v>46127</v>
      </c>
      <c r="G40" s="78" t="s">
        <v>88</v>
      </c>
      <c r="H40" s="28">
        <v>2</v>
      </c>
      <c r="I40" s="78" t="s">
        <v>88</v>
      </c>
      <c r="J40" s="79"/>
      <c r="K40" s="80"/>
      <c r="L40" s="80">
        <f t="shared" si="0"/>
        <v>2</v>
      </c>
      <c r="M40" s="81" t="s">
        <v>88</v>
      </c>
      <c r="N40" s="76" t="s">
        <v>88</v>
      </c>
      <c r="O40" s="77" t="s">
        <v>88</v>
      </c>
      <c r="P40" s="29" t="s">
        <v>88</v>
      </c>
      <c r="Q40" s="79" t="s">
        <v>88</v>
      </c>
      <c r="R40" s="78" t="s">
        <v>88</v>
      </c>
    </row>
    <row r="41" spans="1:18" ht="38.25" x14ac:dyDescent="0.2">
      <c r="A41" s="28">
        <v>20</v>
      </c>
      <c r="B41" s="1" t="s">
        <v>66</v>
      </c>
      <c r="C41" s="74"/>
      <c r="D41" s="75" t="s">
        <v>40</v>
      </c>
      <c r="E41" s="76" t="s">
        <v>90</v>
      </c>
      <c r="F41" s="77">
        <v>46127</v>
      </c>
      <c r="G41" s="78" t="s">
        <v>88</v>
      </c>
      <c r="H41" s="28">
        <v>65</v>
      </c>
      <c r="I41" s="78" t="s">
        <v>88</v>
      </c>
      <c r="J41" s="79"/>
      <c r="K41" s="80"/>
      <c r="L41" s="80">
        <f t="shared" si="0"/>
        <v>65</v>
      </c>
      <c r="M41" s="81" t="s">
        <v>88</v>
      </c>
      <c r="N41" s="76" t="s">
        <v>88</v>
      </c>
      <c r="O41" s="77" t="s">
        <v>88</v>
      </c>
      <c r="P41" s="29" t="s">
        <v>88</v>
      </c>
      <c r="Q41" s="79" t="s">
        <v>88</v>
      </c>
      <c r="R41" s="78" t="s">
        <v>88</v>
      </c>
    </row>
    <row r="42" spans="1:18" ht="38.25" x14ac:dyDescent="0.2">
      <c r="A42" s="28">
        <v>21</v>
      </c>
      <c r="B42" s="1" t="s">
        <v>67</v>
      </c>
      <c r="C42" s="74"/>
      <c r="D42" s="75" t="s">
        <v>40</v>
      </c>
      <c r="E42" s="76" t="s">
        <v>90</v>
      </c>
      <c r="F42" s="77">
        <v>46127</v>
      </c>
      <c r="G42" s="78" t="s">
        <v>88</v>
      </c>
      <c r="H42" s="28">
        <v>2</v>
      </c>
      <c r="I42" s="78" t="s">
        <v>88</v>
      </c>
      <c r="J42" s="79"/>
      <c r="K42" s="80"/>
      <c r="L42" s="80">
        <f t="shared" si="0"/>
        <v>2</v>
      </c>
      <c r="M42" s="81" t="s">
        <v>88</v>
      </c>
      <c r="N42" s="76" t="s">
        <v>88</v>
      </c>
      <c r="O42" s="77" t="s">
        <v>88</v>
      </c>
      <c r="P42" s="29" t="s">
        <v>88</v>
      </c>
      <c r="Q42" s="79" t="s">
        <v>88</v>
      </c>
      <c r="R42" s="78" t="s">
        <v>88</v>
      </c>
    </row>
    <row r="43" spans="1:18" ht="25.5" x14ac:dyDescent="0.2">
      <c r="A43" s="28">
        <v>22</v>
      </c>
      <c r="B43" s="1" t="s">
        <v>68</v>
      </c>
      <c r="C43" s="74"/>
      <c r="D43" s="75" t="s">
        <v>40</v>
      </c>
      <c r="E43" s="76" t="s">
        <v>90</v>
      </c>
      <c r="F43" s="77">
        <v>46127</v>
      </c>
      <c r="G43" s="78" t="s">
        <v>88</v>
      </c>
      <c r="H43" s="28">
        <v>6</v>
      </c>
      <c r="I43" s="78" t="s">
        <v>88</v>
      </c>
      <c r="J43" s="79"/>
      <c r="K43" s="80"/>
      <c r="L43" s="80">
        <f t="shared" si="0"/>
        <v>6</v>
      </c>
      <c r="M43" s="81" t="s">
        <v>88</v>
      </c>
      <c r="N43" s="76" t="s">
        <v>88</v>
      </c>
      <c r="O43" s="77" t="s">
        <v>88</v>
      </c>
      <c r="P43" s="29" t="s">
        <v>88</v>
      </c>
      <c r="Q43" s="79" t="s">
        <v>88</v>
      </c>
      <c r="R43" s="78" t="s">
        <v>88</v>
      </c>
    </row>
    <row r="44" spans="1:18" ht="38.25" x14ac:dyDescent="0.2">
      <c r="A44" s="28">
        <v>23</v>
      </c>
      <c r="B44" s="1" t="s">
        <v>69</v>
      </c>
      <c r="C44" s="74"/>
      <c r="D44" s="75" t="s">
        <v>40</v>
      </c>
      <c r="E44" s="76" t="s">
        <v>90</v>
      </c>
      <c r="F44" s="77">
        <v>46127</v>
      </c>
      <c r="G44" s="78" t="s">
        <v>88</v>
      </c>
      <c r="H44" s="28">
        <v>12</v>
      </c>
      <c r="I44" s="78" t="s">
        <v>88</v>
      </c>
      <c r="J44" s="79"/>
      <c r="K44" s="80"/>
      <c r="L44" s="80">
        <f t="shared" si="0"/>
        <v>12</v>
      </c>
      <c r="M44" s="81" t="s">
        <v>88</v>
      </c>
      <c r="N44" s="76" t="s">
        <v>88</v>
      </c>
      <c r="O44" s="77" t="s">
        <v>88</v>
      </c>
      <c r="P44" s="29" t="s">
        <v>88</v>
      </c>
      <c r="Q44" s="79" t="s">
        <v>88</v>
      </c>
      <c r="R44" s="78" t="s">
        <v>88</v>
      </c>
    </row>
    <row r="45" spans="1:18" ht="25.5" x14ac:dyDescent="0.2">
      <c r="A45" s="28">
        <v>24</v>
      </c>
      <c r="B45" s="1" t="s">
        <v>70</v>
      </c>
      <c r="C45" s="74"/>
      <c r="D45" s="75" t="s">
        <v>40</v>
      </c>
      <c r="E45" s="76" t="s">
        <v>90</v>
      </c>
      <c r="F45" s="77">
        <v>46127</v>
      </c>
      <c r="G45" s="78" t="s">
        <v>88</v>
      </c>
      <c r="H45" s="28">
        <v>6</v>
      </c>
      <c r="I45" s="78" t="s">
        <v>88</v>
      </c>
      <c r="J45" s="79"/>
      <c r="K45" s="80"/>
      <c r="L45" s="80">
        <f t="shared" si="0"/>
        <v>6</v>
      </c>
      <c r="M45" s="81" t="s">
        <v>88</v>
      </c>
      <c r="N45" s="76" t="s">
        <v>88</v>
      </c>
      <c r="O45" s="77" t="s">
        <v>88</v>
      </c>
      <c r="P45" s="29" t="s">
        <v>88</v>
      </c>
      <c r="Q45" s="79" t="s">
        <v>88</v>
      </c>
      <c r="R45" s="78" t="s">
        <v>88</v>
      </c>
    </row>
    <row r="46" spans="1:18" ht="25.5" x14ac:dyDescent="0.2">
      <c r="A46" s="28">
        <v>25</v>
      </c>
      <c r="B46" s="1" t="s">
        <v>71</v>
      </c>
      <c r="C46" s="74"/>
      <c r="D46" s="75" t="s">
        <v>43</v>
      </c>
      <c r="E46" s="76" t="s">
        <v>89</v>
      </c>
      <c r="F46" s="77">
        <v>46126</v>
      </c>
      <c r="G46" s="78" t="s">
        <v>88</v>
      </c>
      <c r="H46" s="28">
        <v>95</v>
      </c>
      <c r="I46" s="78" t="s">
        <v>88</v>
      </c>
      <c r="J46" s="79"/>
      <c r="K46" s="80"/>
      <c r="L46" s="80">
        <f t="shared" si="0"/>
        <v>95</v>
      </c>
      <c r="M46" s="81" t="s">
        <v>88</v>
      </c>
      <c r="N46" s="76" t="s">
        <v>88</v>
      </c>
      <c r="O46" s="77" t="s">
        <v>88</v>
      </c>
      <c r="P46" s="29" t="s">
        <v>88</v>
      </c>
      <c r="Q46" s="79" t="s">
        <v>88</v>
      </c>
      <c r="R46" s="78" t="s">
        <v>88</v>
      </c>
    </row>
    <row r="47" spans="1:18" ht="51" x14ac:dyDescent="0.2">
      <c r="A47" s="28">
        <v>26</v>
      </c>
      <c r="B47" s="1" t="s">
        <v>72</v>
      </c>
      <c r="C47" s="74"/>
      <c r="D47" s="75" t="s">
        <v>43</v>
      </c>
      <c r="E47" s="76" t="s">
        <v>91</v>
      </c>
      <c r="F47" s="77">
        <v>46122</v>
      </c>
      <c r="G47" s="78" t="s">
        <v>88</v>
      </c>
      <c r="H47" s="28">
        <v>54</v>
      </c>
      <c r="I47" s="78" t="s">
        <v>88</v>
      </c>
      <c r="J47" s="79"/>
      <c r="K47" s="80"/>
      <c r="L47" s="80">
        <f t="shared" si="0"/>
        <v>54</v>
      </c>
      <c r="M47" s="81" t="s">
        <v>88</v>
      </c>
      <c r="N47" s="76" t="s">
        <v>88</v>
      </c>
      <c r="O47" s="77" t="s">
        <v>88</v>
      </c>
      <c r="P47" s="29" t="s">
        <v>88</v>
      </c>
      <c r="Q47" s="79" t="s">
        <v>88</v>
      </c>
      <c r="R47" s="78" t="s">
        <v>88</v>
      </c>
    </row>
    <row r="48" spans="1:18" ht="51" x14ac:dyDescent="0.2">
      <c r="A48" s="28">
        <v>27</v>
      </c>
      <c r="B48" s="1" t="s">
        <v>73</v>
      </c>
      <c r="C48" s="74"/>
      <c r="D48" s="75" t="s">
        <v>43</v>
      </c>
      <c r="E48" s="76" t="s">
        <v>91</v>
      </c>
      <c r="F48" s="77">
        <v>46122</v>
      </c>
      <c r="G48" s="78" t="s">
        <v>88</v>
      </c>
      <c r="H48" s="28">
        <v>46.2</v>
      </c>
      <c r="I48" s="78" t="s">
        <v>88</v>
      </c>
      <c r="J48" s="79"/>
      <c r="K48" s="80"/>
      <c r="L48" s="80">
        <f t="shared" si="0"/>
        <v>46.2</v>
      </c>
      <c r="M48" s="81" t="s">
        <v>88</v>
      </c>
      <c r="N48" s="76" t="s">
        <v>88</v>
      </c>
      <c r="O48" s="77" t="s">
        <v>88</v>
      </c>
      <c r="P48" s="29" t="s">
        <v>88</v>
      </c>
      <c r="Q48" s="79" t="s">
        <v>88</v>
      </c>
      <c r="R48" s="78" t="s">
        <v>88</v>
      </c>
    </row>
    <row r="49" spans="1:18" ht="51" x14ac:dyDescent="0.2">
      <c r="A49" s="28">
        <v>28</v>
      </c>
      <c r="B49" s="1" t="s">
        <v>74</v>
      </c>
      <c r="C49" s="74"/>
      <c r="D49" s="75" t="s">
        <v>43</v>
      </c>
      <c r="E49" s="76" t="s">
        <v>91</v>
      </c>
      <c r="F49" s="77">
        <v>46122</v>
      </c>
      <c r="G49" s="78" t="s">
        <v>88</v>
      </c>
      <c r="H49" s="28">
        <v>8.4</v>
      </c>
      <c r="I49" s="78" t="s">
        <v>88</v>
      </c>
      <c r="J49" s="79"/>
      <c r="K49" s="80"/>
      <c r="L49" s="80">
        <f t="shared" si="0"/>
        <v>8.4</v>
      </c>
      <c r="M49" s="81" t="s">
        <v>88</v>
      </c>
      <c r="N49" s="76" t="s">
        <v>88</v>
      </c>
      <c r="O49" s="77" t="s">
        <v>88</v>
      </c>
      <c r="P49" s="29" t="s">
        <v>88</v>
      </c>
      <c r="Q49" s="79" t="s">
        <v>88</v>
      </c>
      <c r="R49" s="78" t="s">
        <v>88</v>
      </c>
    </row>
    <row r="50" spans="1:18" ht="51" x14ac:dyDescent="0.2">
      <c r="A50" s="28">
        <v>29</v>
      </c>
      <c r="B50" s="1" t="s">
        <v>75</v>
      </c>
      <c r="C50" s="74"/>
      <c r="D50" s="75" t="s">
        <v>43</v>
      </c>
      <c r="E50" s="76" t="s">
        <v>91</v>
      </c>
      <c r="F50" s="77">
        <v>46122</v>
      </c>
      <c r="G50" s="78" t="s">
        <v>88</v>
      </c>
      <c r="H50" s="28">
        <v>5.4</v>
      </c>
      <c r="I50" s="78" t="s">
        <v>88</v>
      </c>
      <c r="J50" s="79"/>
      <c r="K50" s="80"/>
      <c r="L50" s="80">
        <f t="shared" si="0"/>
        <v>5.4</v>
      </c>
      <c r="M50" s="81" t="s">
        <v>88</v>
      </c>
      <c r="N50" s="76" t="s">
        <v>88</v>
      </c>
      <c r="O50" s="77" t="s">
        <v>88</v>
      </c>
      <c r="P50" s="29" t="s">
        <v>88</v>
      </c>
      <c r="Q50" s="79" t="s">
        <v>88</v>
      </c>
      <c r="R50" s="78" t="s">
        <v>88</v>
      </c>
    </row>
    <row r="51" spans="1:18" ht="51" x14ac:dyDescent="0.2">
      <c r="A51" s="28">
        <v>30</v>
      </c>
      <c r="B51" s="1" t="s">
        <v>72</v>
      </c>
      <c r="C51" s="74"/>
      <c r="D51" s="75" t="s">
        <v>43</v>
      </c>
      <c r="E51" s="76" t="s">
        <v>91</v>
      </c>
      <c r="F51" s="77">
        <v>46122</v>
      </c>
      <c r="G51" s="78" t="s">
        <v>88</v>
      </c>
      <c r="H51" s="28">
        <v>10.8</v>
      </c>
      <c r="I51" s="78" t="s">
        <v>88</v>
      </c>
      <c r="J51" s="79"/>
      <c r="K51" s="80"/>
      <c r="L51" s="80">
        <f t="shared" si="0"/>
        <v>10.8</v>
      </c>
      <c r="M51" s="81" t="s">
        <v>88</v>
      </c>
      <c r="N51" s="76" t="s">
        <v>88</v>
      </c>
      <c r="O51" s="77" t="s">
        <v>88</v>
      </c>
      <c r="P51" s="29" t="s">
        <v>88</v>
      </c>
      <c r="Q51" s="79" t="s">
        <v>88</v>
      </c>
      <c r="R51" s="78" t="s">
        <v>88</v>
      </c>
    </row>
    <row r="52" spans="1:18" x14ac:dyDescent="0.2">
      <c r="A52" s="28">
        <v>31</v>
      </c>
      <c r="B52" s="1" t="s">
        <v>76</v>
      </c>
      <c r="C52" s="74"/>
      <c r="D52" s="75" t="s">
        <v>40</v>
      </c>
      <c r="E52" s="76" t="s">
        <v>92</v>
      </c>
      <c r="F52" s="77" t="s">
        <v>93</v>
      </c>
      <c r="G52" s="78" t="s">
        <v>88</v>
      </c>
      <c r="H52" s="28">
        <v>4</v>
      </c>
      <c r="I52" s="78" t="s">
        <v>88</v>
      </c>
      <c r="J52" s="79"/>
      <c r="K52" s="80"/>
      <c r="L52" s="80">
        <f t="shared" si="0"/>
        <v>4</v>
      </c>
      <c r="M52" s="81" t="s">
        <v>88</v>
      </c>
      <c r="N52" s="76" t="s">
        <v>88</v>
      </c>
      <c r="O52" s="77" t="s">
        <v>88</v>
      </c>
      <c r="P52" s="29" t="s">
        <v>88</v>
      </c>
      <c r="Q52" s="79" t="s">
        <v>88</v>
      </c>
      <c r="R52" s="78" t="s">
        <v>88</v>
      </c>
    </row>
    <row r="53" spans="1:18" ht="51" x14ac:dyDescent="0.2">
      <c r="A53" s="28">
        <v>32</v>
      </c>
      <c r="B53" s="1" t="s">
        <v>77</v>
      </c>
      <c r="C53" s="74"/>
      <c r="D53" s="75" t="s">
        <v>40</v>
      </c>
      <c r="E53" s="76" t="s">
        <v>92</v>
      </c>
      <c r="F53" s="77" t="s">
        <v>93</v>
      </c>
      <c r="G53" s="78" t="s">
        <v>88</v>
      </c>
      <c r="H53" s="28">
        <v>46</v>
      </c>
      <c r="I53" s="78" t="s">
        <v>88</v>
      </c>
      <c r="J53" s="79"/>
      <c r="K53" s="80"/>
      <c r="L53" s="80">
        <f t="shared" si="0"/>
        <v>46</v>
      </c>
      <c r="M53" s="81" t="s">
        <v>88</v>
      </c>
      <c r="N53" s="76" t="s">
        <v>88</v>
      </c>
      <c r="O53" s="77" t="s">
        <v>88</v>
      </c>
      <c r="P53" s="29" t="s">
        <v>88</v>
      </c>
      <c r="Q53" s="79" t="s">
        <v>88</v>
      </c>
      <c r="R53" s="78" t="s">
        <v>88</v>
      </c>
    </row>
    <row r="54" spans="1:18" ht="25.5" x14ac:dyDescent="0.2">
      <c r="A54" s="28">
        <v>33</v>
      </c>
      <c r="B54" s="1" t="s">
        <v>78</v>
      </c>
      <c r="C54" s="74"/>
      <c r="D54" s="75" t="s">
        <v>40</v>
      </c>
      <c r="E54" s="76" t="s">
        <v>92</v>
      </c>
      <c r="F54" s="77" t="s">
        <v>93</v>
      </c>
      <c r="G54" s="78" t="s">
        <v>88</v>
      </c>
      <c r="H54" s="28">
        <v>3</v>
      </c>
      <c r="I54" s="78" t="s">
        <v>88</v>
      </c>
      <c r="J54" s="79"/>
      <c r="K54" s="80"/>
      <c r="L54" s="80">
        <f t="shared" si="0"/>
        <v>3</v>
      </c>
      <c r="M54" s="81" t="s">
        <v>88</v>
      </c>
      <c r="N54" s="76" t="s">
        <v>88</v>
      </c>
      <c r="O54" s="77" t="s">
        <v>88</v>
      </c>
      <c r="P54" s="29" t="s">
        <v>88</v>
      </c>
      <c r="Q54" s="79" t="s">
        <v>88</v>
      </c>
      <c r="R54" s="78" t="s">
        <v>88</v>
      </c>
    </row>
    <row r="55" spans="1:18" ht="25.5" x14ac:dyDescent="0.2">
      <c r="A55" s="28">
        <v>34</v>
      </c>
      <c r="B55" s="1" t="s">
        <v>79</v>
      </c>
      <c r="C55" s="74"/>
      <c r="D55" s="75" t="s">
        <v>40</v>
      </c>
      <c r="E55" s="76" t="s">
        <v>92</v>
      </c>
      <c r="F55" s="77" t="s">
        <v>93</v>
      </c>
      <c r="G55" s="78" t="s">
        <v>88</v>
      </c>
      <c r="H55" s="28">
        <v>2</v>
      </c>
      <c r="I55" s="78" t="s">
        <v>88</v>
      </c>
      <c r="J55" s="79"/>
      <c r="K55" s="80"/>
      <c r="L55" s="80">
        <f t="shared" si="0"/>
        <v>2</v>
      </c>
      <c r="M55" s="81" t="s">
        <v>88</v>
      </c>
      <c r="N55" s="76" t="s">
        <v>88</v>
      </c>
      <c r="O55" s="77" t="s">
        <v>88</v>
      </c>
      <c r="P55" s="29" t="s">
        <v>88</v>
      </c>
      <c r="Q55" s="79" t="s">
        <v>88</v>
      </c>
      <c r="R55" s="78" t="s">
        <v>88</v>
      </c>
    </row>
    <row r="56" spans="1:18" ht="25.5" x14ac:dyDescent="0.2">
      <c r="A56" s="28">
        <v>35</v>
      </c>
      <c r="B56" s="1" t="s">
        <v>80</v>
      </c>
      <c r="C56" s="74"/>
      <c r="D56" s="75" t="s">
        <v>40</v>
      </c>
      <c r="E56" s="76" t="s">
        <v>92</v>
      </c>
      <c r="F56" s="77" t="s">
        <v>93</v>
      </c>
      <c r="G56" s="78" t="s">
        <v>88</v>
      </c>
      <c r="H56" s="28">
        <v>4</v>
      </c>
      <c r="I56" s="78" t="s">
        <v>88</v>
      </c>
      <c r="J56" s="79"/>
      <c r="K56" s="80"/>
      <c r="L56" s="80">
        <f t="shared" si="0"/>
        <v>4</v>
      </c>
      <c r="M56" s="81" t="s">
        <v>88</v>
      </c>
      <c r="N56" s="76" t="s">
        <v>88</v>
      </c>
      <c r="O56" s="77" t="s">
        <v>88</v>
      </c>
      <c r="P56" s="29" t="s">
        <v>88</v>
      </c>
      <c r="Q56" s="79" t="s">
        <v>88</v>
      </c>
      <c r="R56" s="78" t="s">
        <v>88</v>
      </c>
    </row>
    <row r="57" spans="1:18" ht="63.75" x14ac:dyDescent="0.2">
      <c r="A57" s="28">
        <v>36</v>
      </c>
      <c r="B57" s="1" t="s">
        <v>81</v>
      </c>
      <c r="C57" s="74"/>
      <c r="D57" s="75" t="s">
        <v>40</v>
      </c>
      <c r="E57" s="76" t="s">
        <v>92</v>
      </c>
      <c r="F57" s="77" t="s">
        <v>93</v>
      </c>
      <c r="G57" s="78" t="s">
        <v>88</v>
      </c>
      <c r="H57" s="28">
        <v>21</v>
      </c>
      <c r="I57" s="78" t="s">
        <v>88</v>
      </c>
      <c r="J57" s="79"/>
      <c r="K57" s="80"/>
      <c r="L57" s="80">
        <f t="shared" si="0"/>
        <v>21</v>
      </c>
      <c r="M57" s="81" t="s">
        <v>88</v>
      </c>
      <c r="N57" s="76" t="s">
        <v>88</v>
      </c>
      <c r="O57" s="77" t="s">
        <v>88</v>
      </c>
      <c r="P57" s="29" t="s">
        <v>88</v>
      </c>
      <c r="Q57" s="79" t="s">
        <v>88</v>
      </c>
      <c r="R57" s="78" t="s">
        <v>88</v>
      </c>
    </row>
    <row r="58" spans="1:18" ht="63.75" x14ac:dyDescent="0.2">
      <c r="A58" s="28">
        <v>37</v>
      </c>
      <c r="B58" s="1" t="s">
        <v>82</v>
      </c>
      <c r="C58" s="74"/>
      <c r="D58" s="75" t="s">
        <v>40</v>
      </c>
      <c r="E58" s="76" t="s">
        <v>92</v>
      </c>
      <c r="F58" s="77" t="s">
        <v>93</v>
      </c>
      <c r="G58" s="78" t="s">
        <v>88</v>
      </c>
      <c r="H58" s="28">
        <v>22</v>
      </c>
      <c r="I58" s="78" t="s">
        <v>88</v>
      </c>
      <c r="J58" s="79"/>
      <c r="K58" s="80"/>
      <c r="L58" s="80">
        <f t="shared" si="0"/>
        <v>22</v>
      </c>
      <c r="M58" s="81" t="s">
        <v>88</v>
      </c>
      <c r="N58" s="76" t="s">
        <v>88</v>
      </c>
      <c r="O58" s="77" t="s">
        <v>88</v>
      </c>
      <c r="P58" s="29" t="s">
        <v>88</v>
      </c>
      <c r="Q58" s="79" t="s">
        <v>88</v>
      </c>
      <c r="R58" s="78" t="s">
        <v>88</v>
      </c>
    </row>
    <row r="59" spans="1:18" ht="38.25" x14ac:dyDescent="0.2">
      <c r="A59" s="28">
        <v>38</v>
      </c>
      <c r="B59" s="1" t="s">
        <v>83</v>
      </c>
      <c r="C59" s="74"/>
      <c r="D59" s="75" t="s">
        <v>40</v>
      </c>
      <c r="E59" s="76" t="s">
        <v>92</v>
      </c>
      <c r="F59" s="77" t="s">
        <v>93</v>
      </c>
      <c r="G59" s="78" t="s">
        <v>88</v>
      </c>
      <c r="H59" s="28">
        <v>6</v>
      </c>
      <c r="I59" s="78" t="s">
        <v>88</v>
      </c>
      <c r="J59" s="79"/>
      <c r="K59" s="80"/>
      <c r="L59" s="80">
        <f t="shared" si="0"/>
        <v>6</v>
      </c>
      <c r="M59" s="81" t="s">
        <v>88</v>
      </c>
      <c r="N59" s="76" t="s">
        <v>88</v>
      </c>
      <c r="O59" s="77" t="s">
        <v>88</v>
      </c>
      <c r="P59" s="29" t="s">
        <v>88</v>
      </c>
      <c r="Q59" s="79" t="s">
        <v>88</v>
      </c>
      <c r="R59" s="78" t="s">
        <v>88</v>
      </c>
    </row>
    <row r="60" spans="1:18" x14ac:dyDescent="0.2">
      <c r="A60" s="28">
        <v>39</v>
      </c>
      <c r="B60" s="1" t="s">
        <v>84</v>
      </c>
      <c r="C60" s="74"/>
      <c r="D60" s="75" t="s">
        <v>44</v>
      </c>
      <c r="E60" s="76" t="s">
        <v>92</v>
      </c>
      <c r="F60" s="77" t="s">
        <v>93</v>
      </c>
      <c r="G60" s="78" t="s">
        <v>88</v>
      </c>
      <c r="H60" s="28">
        <v>3.5</v>
      </c>
      <c r="I60" s="78" t="s">
        <v>88</v>
      </c>
      <c r="J60" s="79"/>
      <c r="K60" s="80"/>
      <c r="L60" s="80">
        <f t="shared" si="0"/>
        <v>3.5</v>
      </c>
      <c r="M60" s="81" t="s">
        <v>88</v>
      </c>
      <c r="N60" s="76" t="s">
        <v>88</v>
      </c>
      <c r="O60" s="77" t="s">
        <v>88</v>
      </c>
      <c r="P60" s="29" t="s">
        <v>88</v>
      </c>
      <c r="Q60" s="79" t="s">
        <v>88</v>
      </c>
      <c r="R60" s="78" t="s">
        <v>88</v>
      </c>
    </row>
    <row r="61" spans="1:18" x14ac:dyDescent="0.2">
      <c r="A61" s="28">
        <v>40</v>
      </c>
      <c r="B61" s="1" t="s">
        <v>85</v>
      </c>
      <c r="C61" s="74"/>
      <c r="D61" s="75" t="s">
        <v>44</v>
      </c>
      <c r="E61" s="76" t="s">
        <v>92</v>
      </c>
      <c r="F61" s="77" t="s">
        <v>93</v>
      </c>
      <c r="G61" s="78" t="s">
        <v>88</v>
      </c>
      <c r="H61" s="28">
        <v>3.5</v>
      </c>
      <c r="I61" s="78" t="s">
        <v>88</v>
      </c>
      <c r="J61" s="79"/>
      <c r="K61" s="80"/>
      <c r="L61" s="80">
        <f t="shared" si="0"/>
        <v>3.5</v>
      </c>
      <c r="M61" s="81" t="s">
        <v>88</v>
      </c>
      <c r="N61" s="76" t="s">
        <v>88</v>
      </c>
      <c r="O61" s="77" t="s">
        <v>88</v>
      </c>
      <c r="P61" s="29" t="s">
        <v>88</v>
      </c>
      <c r="Q61" s="79" t="s">
        <v>88</v>
      </c>
      <c r="R61" s="78" t="s">
        <v>88</v>
      </c>
    </row>
    <row r="62" spans="1:18" x14ac:dyDescent="0.2">
      <c r="A62" s="28">
        <v>41</v>
      </c>
      <c r="B62" s="1" t="s">
        <v>39</v>
      </c>
      <c r="C62" s="74"/>
      <c r="D62" s="75" t="s">
        <v>44</v>
      </c>
      <c r="E62" s="76" t="s">
        <v>92</v>
      </c>
      <c r="F62" s="77" t="s">
        <v>93</v>
      </c>
      <c r="G62" s="78" t="s">
        <v>88</v>
      </c>
      <c r="H62" s="28">
        <v>22</v>
      </c>
      <c r="I62" s="78" t="s">
        <v>88</v>
      </c>
      <c r="J62" s="79"/>
      <c r="K62" s="80"/>
      <c r="L62" s="80">
        <f t="shared" si="0"/>
        <v>22</v>
      </c>
      <c r="M62" s="81" t="s">
        <v>88</v>
      </c>
      <c r="N62" s="76" t="s">
        <v>88</v>
      </c>
      <c r="O62" s="77" t="s">
        <v>88</v>
      </c>
      <c r="P62" s="29" t="s">
        <v>88</v>
      </c>
      <c r="Q62" s="79" t="s">
        <v>88</v>
      </c>
      <c r="R62" s="78" t="s">
        <v>88</v>
      </c>
    </row>
    <row r="63" spans="1:18" ht="13.5" thickBot="1" x14ac:dyDescent="0.25">
      <c r="A63" s="28">
        <v>42</v>
      </c>
      <c r="B63" s="1" t="s">
        <v>86</v>
      </c>
      <c r="C63" s="74"/>
      <c r="D63" s="75" t="s">
        <v>44</v>
      </c>
      <c r="E63" s="76" t="s">
        <v>92</v>
      </c>
      <c r="F63" s="77" t="s">
        <v>93</v>
      </c>
      <c r="G63" s="78" t="s">
        <v>88</v>
      </c>
      <c r="H63" s="28">
        <v>9</v>
      </c>
      <c r="I63" s="78" t="s">
        <v>88</v>
      </c>
      <c r="J63" s="79"/>
      <c r="K63" s="80"/>
      <c r="L63" s="80">
        <f t="shared" si="0"/>
        <v>9</v>
      </c>
      <c r="M63" s="81" t="s">
        <v>88</v>
      </c>
      <c r="N63" s="76" t="s">
        <v>88</v>
      </c>
      <c r="O63" s="77" t="s">
        <v>88</v>
      </c>
      <c r="P63" s="29" t="s">
        <v>88</v>
      </c>
      <c r="Q63" s="79" t="s">
        <v>88</v>
      </c>
      <c r="R63" s="78" t="s">
        <v>88</v>
      </c>
    </row>
    <row r="64" spans="1:18" s="96" customFormat="1" ht="13.5" thickBot="1" x14ac:dyDescent="0.25">
      <c r="A64" s="84"/>
      <c r="B64" s="85" t="s">
        <v>10</v>
      </c>
      <c r="C64" s="86"/>
      <c r="D64" s="87"/>
      <c r="E64" s="88"/>
      <c r="F64" s="89"/>
      <c r="G64" s="90"/>
      <c r="H64" s="91">
        <f>SUM(H22:H63)</f>
        <v>5821.7699999999995</v>
      </c>
      <c r="I64" s="92"/>
      <c r="J64" s="93"/>
      <c r="K64" s="89"/>
      <c r="L64" s="89">
        <f>SUM(L22:L63)</f>
        <v>5821.7699999999995</v>
      </c>
      <c r="M64" s="94"/>
      <c r="N64" s="88"/>
      <c r="O64" s="89"/>
      <c r="P64" s="95">
        <f>SUM(P22:P63)</f>
        <v>0</v>
      </c>
      <c r="Q64" s="93">
        <f>SUM(Q22:Q63)</f>
        <v>0</v>
      </c>
      <c r="R64" s="92"/>
    </row>
    <row r="65" spans="2:16" ht="12.6" customHeight="1" x14ac:dyDescent="0.2">
      <c r="I65" s="97"/>
      <c r="K65" s="97"/>
      <c r="N65" s="97"/>
      <c r="P65" s="97"/>
    </row>
    <row r="66" spans="2:16" ht="12.75" hidden="1" customHeight="1" x14ac:dyDescent="0.2"/>
    <row r="67" spans="2:16" x14ac:dyDescent="0.2">
      <c r="B67" s="98" t="s">
        <v>11</v>
      </c>
      <c r="C67" s="5"/>
      <c r="D67" s="5"/>
      <c r="E67" s="5"/>
      <c r="F67" s="5"/>
      <c r="G67" s="5"/>
      <c r="H67" s="5"/>
      <c r="K67" s="110"/>
      <c r="L67" s="110"/>
    </row>
    <row r="68" spans="2:16" ht="12.6" hidden="1" customHeight="1" x14ac:dyDescent="0.2">
      <c r="B68" s="98"/>
      <c r="L68" s="99">
        <f>O15</f>
        <v>0</v>
      </c>
    </row>
    <row r="69" spans="2:16" ht="1.1499999999999999" hidden="1" customHeight="1" x14ac:dyDescent="0.2">
      <c r="B69" s="98"/>
    </row>
    <row r="70" spans="2:16" hidden="1" x14ac:dyDescent="0.2">
      <c r="B70" s="98"/>
    </row>
    <row r="71" spans="2:16" x14ac:dyDescent="0.2">
      <c r="B71" s="98"/>
    </row>
    <row r="72" spans="2:16" x14ac:dyDescent="0.2">
      <c r="B72" s="98" t="s">
        <v>12</v>
      </c>
      <c r="C72" s="5"/>
      <c r="D72" s="5"/>
      <c r="E72" s="5"/>
      <c r="F72" s="5"/>
      <c r="G72" s="5"/>
      <c r="H72" s="5"/>
      <c r="K72" s="110"/>
      <c r="L72" s="110"/>
    </row>
    <row r="73" spans="2:16" x14ac:dyDescent="0.2">
      <c r="L73" s="99"/>
    </row>
    <row r="74" spans="2:16" ht="24.75" customHeight="1" x14ac:dyDescent="0.2">
      <c r="B74" s="100" t="s">
        <v>30</v>
      </c>
      <c r="C74" s="101"/>
      <c r="E74" s="102"/>
      <c r="F74" s="102"/>
      <c r="G74" s="102"/>
      <c r="H74" s="102"/>
      <c r="I74" s="102"/>
      <c r="J74" s="102"/>
      <c r="K74" s="100" t="s">
        <v>31</v>
      </c>
      <c r="M74" s="103"/>
      <c r="N74" s="102"/>
    </row>
    <row r="75" spans="2:16" ht="17.25" customHeight="1" x14ac:dyDescent="0.25">
      <c r="B75" s="100"/>
      <c r="C75" s="101"/>
      <c r="E75" s="102"/>
      <c r="F75" s="102"/>
      <c r="G75" s="102"/>
      <c r="H75" s="102"/>
      <c r="I75" s="102"/>
      <c r="J75" s="102"/>
      <c r="K75" s="104"/>
      <c r="M75" s="105"/>
      <c r="N75" s="102"/>
    </row>
    <row r="76" spans="2:16" ht="24.75" customHeight="1" x14ac:dyDescent="0.2">
      <c r="B76" s="100" t="s">
        <v>35</v>
      </c>
      <c r="C76" s="101"/>
      <c r="E76" s="102"/>
      <c r="F76" s="102"/>
      <c r="G76" s="102"/>
      <c r="H76" s="102"/>
      <c r="I76" s="102"/>
      <c r="J76" s="102"/>
      <c r="K76" s="100" t="s">
        <v>36</v>
      </c>
      <c r="M76" s="105"/>
      <c r="N76" s="102"/>
    </row>
  </sheetData>
  <autoFilter ref="A21:R64" xr:uid="{3D81B363-FC1B-4552-972C-0F81FA4D88AE}"/>
  <mergeCells count="17">
    <mergeCell ref="N19:P19"/>
    <mergeCell ref="Q19:R19"/>
    <mergeCell ref="O15:P15"/>
    <mergeCell ref="H16:J16"/>
    <mergeCell ref="A19:A20"/>
    <mergeCell ref="B19:B20"/>
    <mergeCell ref="C19:C20"/>
    <mergeCell ref="D19:D20"/>
    <mergeCell ref="E19:G19"/>
    <mergeCell ref="H19:I19"/>
    <mergeCell ref="J19:M19"/>
    <mergeCell ref="C10:I10"/>
    <mergeCell ref="C11:E11"/>
    <mergeCell ref="M13:N14"/>
    <mergeCell ref="O13:P14"/>
    <mergeCell ref="Q13:R13"/>
    <mergeCell ref="M15:N15"/>
  </mergeCells>
  <printOptions horizontalCentered="1"/>
  <pageMargins left="0.39370078740157483" right="0.39370078740157483" top="0.59055118110236227" bottom="0.39370078740157483" header="0.51181102362204722" footer="0"/>
  <pageSetup paperSize="9" scale="79" fitToHeight="0" orientation="landscape" r:id="rId1"/>
  <headerFooter alignWithMargins="0">
    <oddFooter>&amp;R&amp;8лист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ГК-18</vt:lpstr>
      <vt:lpstr>'ГК-18'!Заголовки_для_печати</vt:lpstr>
    </vt:vector>
  </TitlesOfParts>
  <Company>sweeper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sunum</dc:creator>
  <cp:lastModifiedBy>GRANDWAY</cp:lastModifiedBy>
  <cp:lastPrinted>2026-05-25T13:20:38Z</cp:lastPrinted>
  <dcterms:created xsi:type="dcterms:W3CDTF">2010-05-18T09:31:30Z</dcterms:created>
  <dcterms:modified xsi:type="dcterms:W3CDTF">2026-05-25T15:10:52Z</dcterms:modified>
</cp:coreProperties>
</file>