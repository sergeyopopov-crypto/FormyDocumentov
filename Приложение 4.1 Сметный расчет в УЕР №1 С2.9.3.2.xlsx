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oscow\OTEKO\TNGLegal\2023\ОТЭКО-Портсервис\СМР\ОПС- Гранд Вэй\"/>
    </mc:Choice>
  </mc:AlternateContent>
  <bookViews>
    <workbookView xWindow="0" yWindow="0" windowWidth="28800" windowHeight="13665"/>
  </bookViews>
  <sheets>
    <sheet name="УЕР_С2.9.3.2" sheetId="1" r:id="rId1"/>
  </sheets>
  <definedNames>
    <definedName name="_xlnm._FilterDatabase" localSheetId="0" hidden="1">УЕР_С2.9.3.2!$A$22:$Q$96</definedName>
    <definedName name="_xlnm.Print_Titles" localSheetId="0">УЕР_С2.9.3.2!$22:$22</definedName>
    <definedName name="_xlnm.Print_Area" localSheetId="0">УЕР_С2.9.3.2!$A$1:$Q$100</definedName>
  </definedNames>
  <calcPr calcId="162913"/>
</workbook>
</file>

<file path=xl/calcChain.xml><?xml version="1.0" encoding="utf-8"?>
<calcChain xmlns="http://schemas.openxmlformats.org/spreadsheetml/2006/main">
  <c r="F39" i="1" l="1"/>
  <c r="F44" i="1"/>
  <c r="J49" i="1" l="1"/>
  <c r="J24" i="1" l="1"/>
  <c r="J83" i="1"/>
  <c r="J82" i="1"/>
  <c r="J40" i="1"/>
  <c r="J34" i="1"/>
  <c r="E81" i="1"/>
  <c r="J81" i="1" s="1"/>
  <c r="E80" i="1"/>
  <c r="J80" i="1" s="1"/>
  <c r="E79" i="1"/>
  <c r="J79" i="1" s="1"/>
  <c r="E78" i="1"/>
  <c r="J78" i="1" s="1"/>
  <c r="E77" i="1"/>
  <c r="J77" i="1" s="1"/>
  <c r="E76" i="1"/>
  <c r="J76" i="1" s="1"/>
  <c r="E75" i="1"/>
  <c r="J75" i="1" s="1"/>
  <c r="E74" i="1"/>
  <c r="O74" i="1" s="1"/>
  <c r="E73" i="1"/>
  <c r="J73" i="1" s="1"/>
  <c r="E72" i="1"/>
  <c r="J72" i="1" s="1"/>
  <c r="E71" i="1"/>
  <c r="J71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E69" i="1" s="1"/>
  <c r="J69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E51" i="1"/>
  <c r="J51" i="1" s="1"/>
  <c r="E50" i="1"/>
  <c r="O49" i="1" s="1"/>
  <c r="E48" i="1"/>
  <c r="J48" i="1" s="1"/>
  <c r="E47" i="1"/>
  <c r="J47" i="1" s="1"/>
  <c r="E46" i="1"/>
  <c r="J46" i="1" s="1"/>
  <c r="E45" i="1"/>
  <c r="J45" i="1" s="1"/>
  <c r="E44" i="1"/>
  <c r="J44" i="1" s="1"/>
  <c r="E43" i="1"/>
  <c r="J43" i="1" s="1"/>
  <c r="E42" i="1"/>
  <c r="J42" i="1" s="1"/>
  <c r="E41" i="1"/>
  <c r="J41" i="1" s="1"/>
  <c r="E39" i="1"/>
  <c r="J39" i="1" s="1"/>
  <c r="E38" i="1"/>
  <c r="J38" i="1" s="1"/>
  <c r="E37" i="1"/>
  <c r="J37" i="1" s="1"/>
  <c r="E36" i="1"/>
  <c r="J36" i="1" s="1"/>
  <c r="E35" i="1"/>
  <c r="J35" i="1" s="1"/>
  <c r="E34" i="1"/>
  <c r="E33" i="1"/>
  <c r="J33" i="1" s="1"/>
  <c r="E32" i="1"/>
  <c r="J32" i="1" s="1"/>
  <c r="E31" i="1"/>
  <c r="J31" i="1" s="1"/>
  <c r="E30" i="1"/>
  <c r="J30" i="1" s="1"/>
  <c r="E29" i="1"/>
  <c r="J29" i="1" s="1"/>
  <c r="J28" i="1"/>
  <c r="Q52" i="1" l="1"/>
  <c r="J52" i="1"/>
  <c r="E62" i="1"/>
  <c r="J62" i="1" s="1"/>
  <c r="O63" i="1"/>
  <c r="O24" i="1"/>
  <c r="E70" i="1"/>
  <c r="J70" i="1" s="1"/>
  <c r="J63" i="1"/>
  <c r="Q24" i="1"/>
  <c r="Q84" i="1" s="1"/>
  <c r="Q74" i="1"/>
  <c r="E61" i="1"/>
  <c r="J61" i="1" s="1"/>
  <c r="O52" i="1"/>
  <c r="J74" i="1"/>
  <c r="J50" i="1"/>
  <c r="Q63" i="1"/>
  <c r="Q49" i="1"/>
  <c r="J26" i="1"/>
  <c r="J27" i="1"/>
  <c r="J92" i="1" l="1"/>
  <c r="J89" i="1"/>
  <c r="J88" i="1"/>
  <c r="O84" i="1"/>
  <c r="Q86" i="1" l="1"/>
  <c r="O86" i="1" l="1"/>
  <c r="O96" i="1"/>
  <c r="C16" i="1" s="1"/>
  <c r="Q96" i="1"/>
  <c r="C17" i="1" s="1"/>
  <c r="J84" i="1" l="1"/>
  <c r="J91" i="1"/>
  <c r="J94" i="1" l="1"/>
  <c r="J95" i="1" s="1"/>
  <c r="J96" i="1" s="1"/>
  <c r="C14" i="1" s="1"/>
  <c r="J86" i="1"/>
</calcChain>
</file>

<file path=xl/sharedStrings.xml><?xml version="1.0" encoding="utf-8"?>
<sst xmlns="http://schemas.openxmlformats.org/spreadsheetml/2006/main" count="252" uniqueCount="125">
  <si>
    <t>(наименование стройки)</t>
  </si>
  <si>
    <t>(локальная смета)</t>
  </si>
  <si>
    <t>Основание:</t>
  </si>
  <si>
    <t>Сметная стоимость</t>
  </si>
  <si>
    <t>руб.</t>
  </si>
  <si>
    <t xml:space="preserve">   строительных работ</t>
  </si>
  <si>
    <t>Сметная трудоемкость</t>
  </si>
  <si>
    <t>чел.час</t>
  </si>
  <si>
    <t>Трудозатраты механизаторов</t>
  </si>
  <si>
    <t>№ п/п</t>
  </si>
  <si>
    <t>Обоснование</t>
  </si>
  <si>
    <t>Наименование работ и затрат</t>
  </si>
  <si>
    <t>Единица измерения</t>
  </si>
  <si>
    <t>Кол-во</t>
  </si>
  <si>
    <t>Стоимость единицы, руб.</t>
  </si>
  <si>
    <t>Общая стоимость, руб.</t>
  </si>
  <si>
    <t>Т/з осн.
раб.на ед.</t>
  </si>
  <si>
    <t>Т/з осн.
раб.
Всего</t>
  </si>
  <si>
    <t>Т/з мех. на ед.</t>
  </si>
  <si>
    <t>Т/з мех. Всего</t>
  </si>
  <si>
    <t>Всего</t>
  </si>
  <si>
    <t>В том числе</t>
  </si>
  <si>
    <t>Осн.З/п</t>
  </si>
  <si>
    <t>Эк.Маш</t>
  </si>
  <si>
    <t>З/пМех</t>
  </si>
  <si>
    <t>Итоги по смете:</t>
  </si>
  <si>
    <t xml:space="preserve">     Итого</t>
  </si>
  <si>
    <t xml:space="preserve">          В том числе:</t>
  </si>
  <si>
    <t xml:space="preserve">            Материалы</t>
  </si>
  <si>
    <t xml:space="preserve">     Материалы Заказчика -матзак</t>
  </si>
  <si>
    <t xml:space="preserve">     Итого с учетом доп. работ и затрат</t>
  </si>
  <si>
    <t xml:space="preserve">  ВСЕГО по смете</t>
  </si>
  <si>
    <t>Подрядчик:</t>
  </si>
  <si>
    <t>Приложение № 4.1</t>
  </si>
  <si>
    <t>м</t>
  </si>
  <si>
    <t>т</t>
  </si>
  <si>
    <t>Заказчик:</t>
  </si>
  <si>
    <t>МатЗак</t>
  </si>
  <si>
    <t>Итого прямые затраты по смете в текущих ценах</t>
  </si>
  <si>
    <t>Сметный расчет в УЕР №1</t>
  </si>
  <si>
    <t xml:space="preserve">            ФОТ</t>
  </si>
  <si>
    <t xml:space="preserve">    Оборудование Заказчика -обзак</t>
  </si>
  <si>
    <t xml:space="preserve">           Оборудование</t>
  </si>
  <si>
    <t>от «   » _________ 2026 г.</t>
  </si>
  <si>
    <t>Терминал навалочных грузов</t>
  </si>
  <si>
    <t>(наименование работ и затрат, наименование объекта)</t>
  </si>
  <si>
    <t xml:space="preserve">Выполнение строительно-монтажных работ ПС-70/2-10-С2.9.3.2-АР1 изм.1 (ограждающие конструкции), титул С2.9.3.2 "Конвейерная галерея минеральных удобрений ГК-15" </t>
  </si>
  <si>
    <t>____________________В.И. Цыбульский</t>
  </si>
  <si>
    <t>____________________С.В. Кузьминова</t>
  </si>
  <si>
    <t>Чертежи ПС-70/2-10-С2.9.3.2-АР1 изм.2,  Проектная смета 73111(251)_С2.9.3.2_АР1и2</t>
  </si>
  <si>
    <t>Раздел 1. Выполнение комплекса работ по монтажу ограждающих конструкций</t>
  </si>
  <si>
    <t>УЕРс-05-02-04</t>
  </si>
  <si>
    <t>УЕРс-04-05-04</t>
  </si>
  <si>
    <t>УЕРс-06-02-05</t>
  </si>
  <si>
    <t>УЕРс-05-02-02</t>
  </si>
  <si>
    <t>УЕРс-04-05-01</t>
  </si>
  <si>
    <t>Ограждающие конструкции перекрытий и покрытий из профилированного листа</t>
  </si>
  <si>
    <t>м2</t>
  </si>
  <si>
    <t>Лист профилированный НС75-750-0,8 двусторонее покрытие ПВДФ RAL: 7047/9003 L 5400 мм</t>
  </si>
  <si>
    <t>шт</t>
  </si>
  <si>
    <t>Шуруп самосверлящий Hilti S-MD55Z 5,5x40</t>
  </si>
  <si>
    <t>Шуруп самосверлящий Hilti S-MD53Z 4,8х19</t>
  </si>
  <si>
    <t>Уплотнитель профильный (нижний), ТУ 22.21.41-001-36690888-2019</t>
  </si>
  <si>
    <t>Уплотнитель профильный (верхний), ТУ 22.21.41-001-36690888-2019</t>
  </si>
  <si>
    <t>Фасонный элемент ФЭ-1.1 ГОСТ 14918-80</t>
  </si>
  <si>
    <t>Фасонный элемент ФЭ-1.2 ГОСТ 14918-80</t>
  </si>
  <si>
    <t>Фасонный элемент ФЭ-2.1 ГОСТ 14918-80</t>
  </si>
  <si>
    <t>Фасонный элемент ФЭ-2.2 ГОСТ 14918-80</t>
  </si>
  <si>
    <t>Фасонный элемент ФЭ-3 ГОСТ 14918-80</t>
  </si>
  <si>
    <t>Фасонный элемент ФЭ-10 ГОСТ 14918-80</t>
  </si>
  <si>
    <t>Шуруп самосверлящий Hilti S-MD55Z 5,5x40 (для ФЭ)</t>
  </si>
  <si>
    <t>Шуруп самосверлящий Hilti S-MD53Z 4,8х19 (для ФЭ)</t>
  </si>
  <si>
    <t>Заклепка стальная D 4,8 мм L 10 мм вытяжная (для ФЭ)</t>
  </si>
  <si>
    <t>Желоб водосточный D185x3000 (RAL 7047), ТУ 5285-002-37144780-2012</t>
  </si>
  <si>
    <t>Соединитель желоба D185 (RAL 7047), ТУ 5285-002-37144780-2012</t>
  </si>
  <si>
    <t>Заглушка желоба, ТУ 5285-002-37144780-2012</t>
  </si>
  <si>
    <t>Держатели желоба, ТУ 5285-002-37144780-2012</t>
  </si>
  <si>
    <t>Воронка выпускная D185/150 (RAL 7047), ТУ 5285-002-37144780-2012</t>
  </si>
  <si>
    <t>Труба водосточная D150 (RAL 7047), ТУ 5285-002-37144780-2012</t>
  </si>
  <si>
    <t>Держатели трубы водосточной</t>
  </si>
  <si>
    <t xml:space="preserve">Колено трубы D150 (RAL 7047) </t>
  </si>
  <si>
    <t>Гидроизоляционная самоклеящаяся битумно-полимерная лента NICOBAND, СТО 72746455-3.1.6-2014, 150х10м</t>
  </si>
  <si>
    <t>Герметик Сазиласт 13, ТУ 2513-118-32478306-201, 600 мл</t>
  </si>
  <si>
    <t>Устройство ограждений на кровле</t>
  </si>
  <si>
    <t>Ограждение кровельное Roof Systems PRESTIGE H-600 45x25 (овал) 2 трубы EURO L=3м, RAL 9006, ТУ 5262-001-84344822-2019</t>
  </si>
  <si>
    <t>Планка-переходник для профнастила Н75, ТУ 5262-001-84344822-2019</t>
  </si>
  <si>
    <t>Облицовка стен монолитным поликарбонатом</t>
  </si>
  <si>
    <t>Поликарбонат ПЛМПКГ 1,3-6900-1050-БЦ-Пр-Глн, ТУ 2291-002-73658121-2009</t>
  </si>
  <si>
    <t>Поликарбонат ПЛМПКГ 1,3-4400-1050-СИН-Пр-Глн, ТУ 2291-002-73658121-2009</t>
  </si>
  <si>
    <t>Поликарбонат ПЛМПКГ 1,3-4400-1050-БЦ-Пр-Глн, ТУ 2291-002-73658121-2009</t>
  </si>
  <si>
    <t>Поликарбонат ПЛМПКГ 1,3-4400-1050-ОРН-Пр-Глн, ТУ 2291-002-73658121-2009</t>
  </si>
  <si>
    <t>Поликарбонат ПЛМПКГ 1,3-8200-1050-БЦ-Пр-Глн, ТУ 2291-002-73658121-2009</t>
  </si>
  <si>
    <t>Поликарбонат ПЛМПКГ 1,3-5700-1050-СИН-Пр-Глн, ТУ 2291-002-73658121-2009</t>
  </si>
  <si>
    <t>Поликарбонат ПЛМПКГ 1,3-5700-1050-БЦ-Пр-Глн, ТУ 2291-002-73658121-2009</t>
  </si>
  <si>
    <t>Поликарбонат ПЛМПКГ 1,3-5700-1050-ОРН-Пр-Глн, ТУ 2291-002-73658121-2009</t>
  </si>
  <si>
    <t xml:space="preserve">Ограждающие конструкции стен из профилированного листа </t>
  </si>
  <si>
    <t>Лист профилированный НС44-1000-0,8 двусторонее покрытие ПВДФ RAL5005/RAL9003 L 6900 мм</t>
  </si>
  <si>
    <t>Лист профилированный НС44-1000-0,8 двусторонее покрытие ПВДФ RAL: 5005/9003 L 4400 мм</t>
  </si>
  <si>
    <t>Лист профилированный НС44-1000-0,8 двусторонее покрытие ПВДФ RAL5005/RAL9003 L 8200 мм</t>
  </si>
  <si>
    <t>Лист профилированный НС44-1000-0,8 двусторонее покрытие ПВДФ RAL5005/RAL9003 L 5700 мм</t>
  </si>
  <si>
    <t>Лист профилированный НС44-1000-0,8 двусторонее покрытие ПВДФ RAL5005/RAL9003 L 2800 мм</t>
  </si>
  <si>
    <t>Фасонный элемент ФЭ-5 ГОСТ 14918-80</t>
  </si>
  <si>
    <t>Фасонный элемент ФЭ-8 ГОСТ 14918-80</t>
  </si>
  <si>
    <t>Устройство парапетов, фасадных элементов, ендовых из гладкого листа</t>
  </si>
  <si>
    <t>Фасонный элемент ФЭ-4 ГОСТ 14918-80</t>
  </si>
  <si>
    <t>Фасонный элемент ФЭ-9 ГОСТ 14918-80</t>
  </si>
  <si>
    <t>Фасонный элемент ФЭ-11 ГОСТ 14918-80</t>
  </si>
  <si>
    <t>Фасонный элемент ФЭ-12 ГОСТ 14918-80</t>
  </si>
  <si>
    <t>Фасонный элемент ФЭ-13 ГОСТ 14918-80</t>
  </si>
  <si>
    <t>2*</t>
  </si>
  <si>
    <t>30*</t>
  </si>
  <si>
    <t>31*</t>
  </si>
  <si>
    <t>32*</t>
  </si>
  <si>
    <t>33*</t>
  </si>
  <si>
    <t>34*</t>
  </si>
  <si>
    <t>35*</t>
  </si>
  <si>
    <t>36*</t>
  </si>
  <si>
    <t>37*</t>
  </si>
  <si>
    <t>41*</t>
  </si>
  <si>
    <t>42*</t>
  </si>
  <si>
    <t>43*</t>
  </si>
  <si>
    <t>44*</t>
  </si>
  <si>
    <t>45*</t>
  </si>
  <si>
    <t xml:space="preserve">     НДС 22%</t>
  </si>
  <si>
    <t>к Договору №  ОПС-1774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</si>
</sst>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rgb="FF000000"/>
      <name val="Calibri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u/>
      <sz val="16"/>
      <name val="Times New Roman"/>
      <family val="1"/>
      <charset val="204"/>
    </font>
    <font>
      <u/>
      <sz val="10"/>
      <name val="Times New Roman"/>
      <family val="1"/>
      <charset val="204"/>
    </font>
    <font>
      <i/>
      <sz val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sz val="11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4">
    <xf numFmtId="0" fontId="0" fillId="0" borderId="0" xfId="0"/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wrapText="1"/>
    </xf>
    <xf numFmtId="0" fontId="9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right" vertical="top"/>
    </xf>
    <xf numFmtId="49" fontId="10" fillId="0" borderId="0" xfId="0" applyNumberFormat="1" applyFont="1" applyFill="1" applyBorder="1" applyAlignment="1" applyProtection="1">
      <alignment vertical="top"/>
    </xf>
    <xf numFmtId="49" fontId="11" fillId="0" borderId="0" xfId="0" applyNumberFormat="1" applyFont="1" applyFill="1" applyBorder="1" applyAlignment="1" applyProtection="1"/>
    <xf numFmtId="49" fontId="12" fillId="0" borderId="0" xfId="0" applyNumberFormat="1" applyFont="1" applyFill="1" applyBorder="1" applyAlignment="1" applyProtection="1"/>
    <xf numFmtId="49" fontId="12" fillId="0" borderId="0" xfId="0" applyNumberFormat="1" applyFont="1" applyFill="1" applyBorder="1" applyAlignment="1" applyProtection="1">
      <alignment wrapText="1"/>
    </xf>
    <xf numFmtId="0" fontId="12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left"/>
    </xf>
    <xf numFmtId="0" fontId="12" fillId="0" borderId="0" xfId="0" applyNumberFormat="1" applyFont="1" applyFill="1" applyBorder="1" applyAlignment="1" applyProtection="1">
      <alignment vertical="center" wrapText="1"/>
    </xf>
    <xf numFmtId="2" fontId="12" fillId="0" borderId="0" xfId="0" applyNumberFormat="1" applyFont="1" applyFill="1" applyBorder="1" applyAlignment="1" applyProtection="1">
      <alignment horizontal="right"/>
    </xf>
    <xf numFmtId="0" fontId="11" fillId="0" borderId="3" xfId="0" applyNumberFormat="1" applyFont="1" applyFill="1" applyBorder="1" applyAlignment="1" applyProtection="1"/>
    <xf numFmtId="0" fontId="12" fillId="0" borderId="3" xfId="0" applyNumberFormat="1" applyFont="1" applyFill="1" applyBorder="1" applyAlignment="1" applyProtection="1"/>
    <xf numFmtId="49" fontId="14" fillId="0" borderId="2" xfId="0" applyNumberFormat="1" applyFont="1" applyFill="1" applyBorder="1" applyAlignment="1" applyProtection="1">
      <alignment horizontal="center" vertical="center" wrapText="1"/>
    </xf>
    <xf numFmtId="4" fontId="11" fillId="0" borderId="2" xfId="0" applyNumberFormat="1" applyFont="1" applyFill="1" applyBorder="1" applyAlignment="1" applyProtection="1">
      <alignment horizontal="right" vertical="top" wrapText="1"/>
    </xf>
    <xf numFmtId="0" fontId="11" fillId="0" borderId="2" xfId="0" applyNumberFormat="1" applyFont="1" applyFill="1" applyBorder="1" applyAlignment="1" applyProtection="1">
      <alignment horizontal="right" vertical="top" wrapText="1"/>
    </xf>
    <xf numFmtId="0" fontId="16" fillId="0" borderId="2" xfId="0" applyNumberFormat="1" applyFont="1" applyFill="1" applyBorder="1" applyAlignment="1" applyProtection="1">
      <alignment horizontal="right" vertical="top" wrapText="1"/>
    </xf>
    <xf numFmtId="0" fontId="16" fillId="0" borderId="2" xfId="0" applyNumberFormat="1" applyFont="1" applyFill="1" applyBorder="1" applyAlignment="1" applyProtection="1">
      <alignment horizontal="right" vertical="top"/>
    </xf>
    <xf numFmtId="2" fontId="16" fillId="0" borderId="2" xfId="0" applyNumberFormat="1" applyFont="1" applyFill="1" applyBorder="1" applyAlignment="1" applyProtection="1">
      <alignment horizontal="right" vertical="top"/>
    </xf>
    <xf numFmtId="0" fontId="11" fillId="0" borderId="2" xfId="0" applyNumberFormat="1" applyFont="1" applyFill="1" applyBorder="1" applyAlignment="1" applyProtection="1">
      <alignment horizontal="right" vertical="top"/>
    </xf>
    <xf numFmtId="2" fontId="11" fillId="0" borderId="2" xfId="0" applyNumberFormat="1" applyFont="1" applyFill="1" applyBorder="1" applyAlignment="1" applyProtection="1">
      <alignment horizontal="right" vertical="top"/>
    </xf>
    <xf numFmtId="4" fontId="17" fillId="0" borderId="2" xfId="0" applyNumberFormat="1" applyFont="1" applyFill="1" applyBorder="1" applyAlignment="1" applyProtection="1">
      <alignment horizontal="right" vertical="top" wrapText="1"/>
    </xf>
    <xf numFmtId="4" fontId="16" fillId="0" borderId="2" xfId="0" applyNumberFormat="1" applyFont="1" applyFill="1" applyBorder="1" applyAlignment="1" applyProtection="1">
      <alignment horizontal="right" vertical="top" wrapText="1"/>
    </xf>
    <xf numFmtId="2" fontId="17" fillId="0" borderId="2" xfId="0" applyNumberFormat="1" applyFont="1" applyFill="1" applyBorder="1" applyAlignment="1" applyProtection="1">
      <alignment horizontal="right" vertical="top"/>
    </xf>
    <xf numFmtId="4" fontId="17" fillId="0" borderId="2" xfId="0" applyNumberFormat="1" applyFont="1" applyFill="1" applyBorder="1" applyAlignment="1" applyProtection="1">
      <alignment horizontal="right" vertical="top"/>
    </xf>
    <xf numFmtId="4" fontId="11" fillId="0" borderId="2" xfId="0" applyNumberFormat="1" applyFont="1" applyFill="1" applyBorder="1" applyAlignment="1" applyProtection="1">
      <alignment horizontal="right" vertical="top"/>
    </xf>
    <xf numFmtId="4" fontId="16" fillId="0" borderId="2" xfId="0" applyNumberFormat="1" applyFont="1" applyFill="1" applyBorder="1" applyAlignment="1" applyProtection="1">
      <alignment horizontal="right" vertical="top"/>
    </xf>
    <xf numFmtId="4" fontId="12" fillId="0" borderId="0" xfId="0" applyNumberFormat="1" applyFont="1" applyFill="1" applyBorder="1" applyAlignment="1" applyProtection="1"/>
    <xf numFmtId="49" fontId="13" fillId="0" borderId="2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 vertical="top"/>
    </xf>
    <xf numFmtId="0" fontId="4" fillId="0" borderId="0" xfId="0" applyFont="1" applyFill="1"/>
    <xf numFmtId="0" fontId="0" fillId="0" borderId="0" xfId="0" applyFill="1"/>
    <xf numFmtId="0" fontId="4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right" wrapText="1"/>
    </xf>
    <xf numFmtId="49" fontId="6" fillId="0" borderId="0" xfId="0" applyNumberFormat="1" applyFont="1" applyFill="1" applyBorder="1" applyAlignment="1" applyProtection="1">
      <alignment horizontal="right" vertical="top"/>
    </xf>
    <xf numFmtId="49" fontId="12" fillId="0" borderId="0" xfId="0" applyNumberFormat="1" applyFont="1" applyFill="1" applyBorder="1" applyAlignment="1" applyProtection="1">
      <alignment horizontal="right" wrapText="1"/>
    </xf>
    <xf numFmtId="0" fontId="12" fillId="0" borderId="0" xfId="0" applyNumberFormat="1" applyFont="1" applyFill="1" applyBorder="1" applyAlignment="1" applyProtection="1">
      <alignment horizontal="right"/>
    </xf>
    <xf numFmtId="49" fontId="13" fillId="0" borderId="2" xfId="0" applyNumberFormat="1" applyFont="1" applyFill="1" applyBorder="1" applyAlignment="1" applyProtection="1">
      <alignment horizontal="right" vertical="center"/>
    </xf>
    <xf numFmtId="0" fontId="9" fillId="0" borderId="0" xfId="0" applyNumberFormat="1" applyFont="1" applyFill="1" applyBorder="1" applyAlignment="1" applyProtection="1">
      <alignment horizontal="right"/>
    </xf>
    <xf numFmtId="4" fontId="10" fillId="0" borderId="0" xfId="0" applyNumberFormat="1" applyFont="1" applyFill="1" applyBorder="1" applyAlignment="1" applyProtection="1">
      <alignment horizontal="right"/>
    </xf>
    <xf numFmtId="4" fontId="9" fillId="0" borderId="0" xfId="0" applyNumberFormat="1" applyFont="1" applyFill="1" applyBorder="1" applyAlignment="1" applyProtection="1">
      <alignment horizontal="right"/>
    </xf>
    <xf numFmtId="49" fontId="15" fillId="0" borderId="2" xfId="0" applyNumberFormat="1" applyFont="1" applyFill="1" applyBorder="1" applyAlignment="1" applyProtection="1">
      <alignment horizontal="left" vertical="center" wrapText="1"/>
    </xf>
    <xf numFmtId="0" fontId="21" fillId="0" borderId="0" xfId="0" applyFont="1" applyAlignment="1">
      <alignment vertical="center"/>
    </xf>
    <xf numFmtId="0" fontId="21" fillId="0" borderId="0" xfId="0" applyFont="1" applyFill="1" applyAlignment="1">
      <alignment vertical="center"/>
    </xf>
    <xf numFmtId="0" fontId="21" fillId="0" borderId="0" xfId="0" applyFont="1" applyFill="1" applyAlignment="1"/>
    <xf numFmtId="0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wrapText="1"/>
    </xf>
    <xf numFmtId="0" fontId="22" fillId="2" borderId="2" xfId="3" applyFont="1" applyFill="1" applyBorder="1" applyAlignment="1">
      <alignment horizontal="center" vertical="center" wrapText="1"/>
    </xf>
    <xf numFmtId="0" fontId="23" fillId="2" borderId="2" xfId="3" applyFont="1" applyFill="1" applyBorder="1" applyAlignment="1">
      <alignment horizontal="center" vertical="center" wrapText="1"/>
    </xf>
    <xf numFmtId="49" fontId="22" fillId="2" borderId="2" xfId="3" quotePrefix="1" applyNumberFormat="1" applyFont="1" applyFill="1" applyBorder="1" applyAlignment="1">
      <alignment horizontal="left" vertical="center" wrapText="1" shrinkToFit="1"/>
    </xf>
    <xf numFmtId="4" fontId="23" fillId="0" borderId="2" xfId="2" applyNumberFormat="1" applyFont="1" applyBorder="1" applyAlignment="1">
      <alignment horizontal="center" vertical="center" wrapText="1"/>
    </xf>
    <xf numFmtId="49" fontId="23" fillId="2" borderId="2" xfId="3" quotePrefix="1" applyNumberFormat="1" applyFont="1" applyFill="1" applyBorder="1" applyAlignment="1">
      <alignment horizontal="left" vertical="center" wrapText="1" shrinkToFit="1"/>
    </xf>
    <xf numFmtId="0" fontId="23" fillId="0" borderId="2" xfId="3" applyFont="1" applyBorder="1" applyAlignment="1">
      <alignment vertical="center" wrapText="1"/>
    </xf>
    <xf numFmtId="0" fontId="23" fillId="0" borderId="2" xfId="3" applyFont="1" applyBorder="1" applyAlignment="1">
      <alignment horizontal="center" vertical="center" wrapText="1"/>
    </xf>
    <xf numFmtId="0" fontId="22" fillId="2" borderId="2" xfId="3" applyFont="1" applyFill="1" applyBorder="1" applyAlignment="1">
      <alignment vertical="center" wrapText="1"/>
    </xf>
    <xf numFmtId="3" fontId="23" fillId="0" borderId="2" xfId="2" applyNumberFormat="1" applyFont="1" applyBorder="1" applyAlignment="1">
      <alignment horizontal="center" vertical="center" wrapText="1"/>
    </xf>
    <xf numFmtId="3" fontId="22" fillId="0" borderId="2" xfId="2" applyNumberFormat="1" applyFont="1" applyBorder="1" applyAlignment="1">
      <alignment horizontal="center" vertical="center" wrapText="1"/>
    </xf>
    <xf numFmtId="4" fontId="22" fillId="0" borderId="2" xfId="2" applyNumberFormat="1" applyFont="1" applyBorder="1" applyAlignment="1">
      <alignment horizontal="center" vertical="center" wrapText="1"/>
    </xf>
    <xf numFmtId="0" fontId="24" fillId="0" borderId="0" xfId="0" applyFont="1" applyFill="1"/>
    <xf numFmtId="49" fontId="25" fillId="0" borderId="2" xfId="0" applyNumberFormat="1" applyFont="1" applyFill="1" applyBorder="1" applyAlignment="1" applyProtection="1">
      <alignment horizontal="left" vertical="center" wrapText="1"/>
    </xf>
    <xf numFmtId="4" fontId="23" fillId="2" borderId="2" xfId="2" applyNumberFormat="1" applyFont="1" applyFill="1" applyBorder="1" applyAlignment="1">
      <alignment horizontal="center" vertical="center" wrapText="1"/>
    </xf>
    <xf numFmtId="4" fontId="23" fillId="0" borderId="2" xfId="2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top"/>
    </xf>
    <xf numFmtId="0" fontId="19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wrapText="1"/>
    </xf>
    <xf numFmtId="49" fontId="13" fillId="0" borderId="2" xfId="0" applyNumberFormat="1" applyFont="1" applyFill="1" applyBorder="1" applyAlignment="1" applyProtection="1">
      <alignment horizontal="center" vertical="center" wrapText="1"/>
    </xf>
    <xf numFmtId="49" fontId="13" fillId="0" borderId="2" xfId="0" applyNumberFormat="1" applyFont="1" applyFill="1" applyBorder="1" applyAlignment="1" applyProtection="1">
      <alignment horizontal="center" vertical="center"/>
    </xf>
    <xf numFmtId="49" fontId="15" fillId="0" borderId="4" xfId="0" applyNumberFormat="1" applyFont="1" applyFill="1" applyBorder="1" applyAlignment="1" applyProtection="1">
      <alignment horizontal="left" vertical="center" wrapText="1"/>
    </xf>
    <xf numFmtId="49" fontId="15" fillId="0" borderId="5" xfId="0" applyNumberFormat="1" applyFont="1" applyFill="1" applyBorder="1" applyAlignment="1" applyProtection="1">
      <alignment horizontal="left" vertical="center" wrapText="1"/>
    </xf>
    <xf numFmtId="49" fontId="15" fillId="0" borderId="6" xfId="0" applyNumberFormat="1" applyFont="1" applyFill="1" applyBorder="1" applyAlignment="1" applyProtection="1">
      <alignment horizontal="left" vertical="center" wrapText="1"/>
    </xf>
    <xf numFmtId="49" fontId="16" fillId="0" borderId="2" xfId="0" applyNumberFormat="1" applyFont="1" applyFill="1" applyBorder="1" applyAlignment="1" applyProtection="1">
      <alignment horizontal="left" vertical="top" wrapText="1"/>
    </xf>
    <xf numFmtId="49" fontId="8" fillId="0" borderId="0" xfId="0" applyNumberFormat="1" applyFont="1" applyFill="1" applyBorder="1" applyAlignment="1" applyProtection="1">
      <alignment horizontal="center" vertical="top"/>
    </xf>
    <xf numFmtId="0" fontId="12" fillId="0" borderId="1" xfId="0" applyNumberFormat="1" applyFont="1" applyFill="1" applyBorder="1" applyAlignment="1" applyProtection="1">
      <alignment horizontal="left" wrapText="1"/>
    </xf>
    <xf numFmtId="0" fontId="18" fillId="0" borderId="0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/>
    </xf>
    <xf numFmtId="49" fontId="20" fillId="0" borderId="3" xfId="0" applyNumberFormat="1" applyFont="1" applyFill="1" applyBorder="1" applyAlignment="1" applyProtection="1">
      <alignment horizontal="center" vertical="top"/>
    </xf>
    <xf numFmtId="49" fontId="13" fillId="0" borderId="2" xfId="0" applyNumberFormat="1" applyFont="1" applyFill="1" applyBorder="1" applyAlignment="1" applyProtection="1">
      <alignment horizontal="right" vertical="center" wrapText="1"/>
    </xf>
    <xf numFmtId="49" fontId="20" fillId="0" borderId="0" xfId="0" applyNumberFormat="1" applyFont="1" applyFill="1" applyBorder="1" applyAlignment="1" applyProtection="1">
      <alignment horizontal="center" vertical="center"/>
    </xf>
    <xf numFmtId="49" fontId="11" fillId="0" borderId="2" xfId="0" applyNumberFormat="1" applyFont="1" applyFill="1" applyBorder="1" applyAlignment="1" applyProtection="1">
      <alignment horizontal="left" vertical="top" wrapText="1"/>
    </xf>
    <xf numFmtId="49" fontId="11" fillId="0" borderId="2" xfId="0" applyNumberFormat="1" applyFont="1" applyFill="1" applyBorder="1" applyAlignment="1" applyProtection="1">
      <alignment horizontal="left" vertical="center" wrapText="1"/>
    </xf>
  </cellXfs>
  <cellStyles count="6">
    <cellStyle name="Normal 2 2" xfId="2"/>
    <cellStyle name="Normal 2 2 2" xfId="4"/>
    <cellStyle name="Normal 2 2 3 2 2" xfId="3"/>
    <cellStyle name="Normal 2 2 3 2 2 2" xfId="5"/>
    <cellStyle name="Обычный" xfId="0" builtinId="0"/>
    <cellStyle name="Обычный 2 17" xfId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D101"/>
  <sheetViews>
    <sheetView tabSelected="1" view="pageBreakPreview" zoomScaleNormal="100" zoomScaleSheetLayoutView="100" workbookViewId="0">
      <selection activeCell="C4" sqref="C4"/>
    </sheetView>
  </sheetViews>
  <sheetFormatPr defaultColWidth="9.140625" defaultRowHeight="11.25" customHeight="1" x14ac:dyDescent="0.2"/>
  <cols>
    <col min="1" max="1" width="9" style="3" customWidth="1"/>
    <col min="2" max="2" width="20.140625" style="3" customWidth="1"/>
    <col min="3" max="3" width="60.7109375" style="3" customWidth="1"/>
    <col min="4" max="4" width="13.7109375" style="3" customWidth="1"/>
    <col min="5" max="5" width="7.85546875" style="3" customWidth="1"/>
    <col min="6" max="6" width="11.85546875" style="3" customWidth="1"/>
    <col min="7" max="9" width="9.42578125" style="3" customWidth="1"/>
    <col min="10" max="10" width="11.85546875" style="42" customWidth="1"/>
    <col min="11" max="11" width="10.28515625" style="3" customWidth="1"/>
    <col min="12" max="13" width="9.28515625" style="3" customWidth="1"/>
    <col min="14" max="14" width="8.42578125" style="3" customWidth="1"/>
    <col min="15" max="15" width="10.7109375" style="3" customWidth="1"/>
    <col min="16" max="16" width="8.7109375" style="3" customWidth="1"/>
    <col min="17" max="17" width="10.7109375" style="3" customWidth="1"/>
    <col min="18" max="16384" width="9.140625" style="3"/>
  </cols>
  <sheetData>
    <row r="1" spans="1:17" ht="15" x14ac:dyDescent="0.25">
      <c r="A1" s="1"/>
      <c r="B1" s="1"/>
      <c r="C1" s="1"/>
      <c r="D1" s="1"/>
      <c r="E1" s="1"/>
      <c r="F1" s="1"/>
      <c r="G1" s="1"/>
      <c r="H1" s="1"/>
      <c r="I1" s="1"/>
      <c r="J1" s="36"/>
      <c r="K1" s="1"/>
      <c r="L1" s="1" t="s">
        <v>33</v>
      </c>
    </row>
    <row r="2" spans="1:17" ht="15" x14ac:dyDescent="0.25">
      <c r="A2" s="1"/>
      <c r="B2" s="1"/>
      <c r="C2" s="1"/>
      <c r="D2" s="1"/>
      <c r="E2" s="1"/>
      <c r="F2" s="1"/>
      <c r="G2" s="1"/>
      <c r="H2" s="1"/>
      <c r="I2" s="1"/>
      <c r="J2" s="36"/>
      <c r="K2" s="1"/>
      <c r="L2" s="1" t="s">
        <v>124</v>
      </c>
    </row>
    <row r="3" spans="1:17" ht="15" x14ac:dyDescent="0.25">
      <c r="A3" s="1"/>
      <c r="B3" s="1"/>
      <c r="C3" s="1"/>
      <c r="D3" s="1"/>
      <c r="E3" s="1"/>
      <c r="F3" s="1"/>
      <c r="G3" s="1"/>
      <c r="H3" s="1"/>
      <c r="I3" s="1"/>
      <c r="J3" s="36"/>
      <c r="K3" s="1"/>
      <c r="L3" s="1" t="s">
        <v>43</v>
      </c>
    </row>
    <row r="4" spans="1:17" ht="15" customHeight="1" x14ac:dyDescent="0.2">
      <c r="B4" s="2"/>
      <c r="C4" s="2"/>
      <c r="D4" s="2"/>
      <c r="E4" s="2"/>
      <c r="F4" s="2"/>
      <c r="G4" s="2"/>
      <c r="H4" s="2"/>
      <c r="I4" s="2"/>
      <c r="J4" s="37"/>
      <c r="K4" s="2"/>
      <c r="L4" s="2"/>
      <c r="M4" s="2"/>
      <c r="N4" s="2"/>
      <c r="O4" s="2"/>
      <c r="P4" s="2"/>
      <c r="Q4" s="2"/>
    </row>
    <row r="5" spans="1:17" ht="12.75" customHeight="1" x14ac:dyDescent="0.2">
      <c r="A5" s="67" t="s">
        <v>44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</row>
    <row r="6" spans="1:17" x14ac:dyDescent="0.2">
      <c r="A6" s="66" t="s">
        <v>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spans="1:17" s="1" customFormat="1" ht="15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1:17" ht="18.75" x14ac:dyDescent="0.3">
      <c r="A8" s="78" t="s">
        <v>39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</row>
    <row r="9" spans="1:17" x14ac:dyDescent="0.2">
      <c r="A9" s="66" t="s">
        <v>1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</row>
    <row r="10" spans="1:17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8"/>
      <c r="K10" s="33"/>
      <c r="L10" s="33"/>
    </row>
    <row r="11" spans="1:17" ht="20.25" x14ac:dyDescent="0.2">
      <c r="A11" s="77" t="s">
        <v>46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</row>
    <row r="12" spans="1:17" x14ac:dyDescent="0.2">
      <c r="A12" s="79" t="s">
        <v>45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7" s="34" customFormat="1" ht="15" customHeight="1" x14ac:dyDescent="0.25">
      <c r="A13" s="8"/>
      <c r="B13" s="9" t="s">
        <v>2</v>
      </c>
      <c r="C13" s="76" t="s">
        <v>49</v>
      </c>
      <c r="D13" s="76"/>
      <c r="E13" s="76"/>
      <c r="F13" s="10"/>
      <c r="G13" s="10"/>
      <c r="H13" s="10"/>
      <c r="I13" s="10"/>
      <c r="J13" s="39"/>
      <c r="K13" s="10"/>
      <c r="L13" s="10"/>
      <c r="M13" s="8"/>
      <c r="N13" s="8"/>
      <c r="O13" s="8"/>
      <c r="P13" s="8"/>
      <c r="Q13" s="8"/>
    </row>
    <row r="14" spans="1:17" s="34" customFormat="1" ht="12.75" customHeight="1" x14ac:dyDescent="0.25">
      <c r="A14" s="35"/>
      <c r="B14" s="11" t="s">
        <v>3</v>
      </c>
      <c r="C14" s="31">
        <f>J96</f>
        <v>1974267.5497999988</v>
      </c>
      <c r="D14" s="12" t="s">
        <v>4</v>
      </c>
      <c r="E14" s="35"/>
      <c r="F14" s="11"/>
      <c r="G14" s="11"/>
      <c r="H14" s="11"/>
      <c r="I14" s="11"/>
      <c r="J14" s="40"/>
      <c r="K14" s="13"/>
      <c r="L14" s="11"/>
      <c r="M14" s="35"/>
      <c r="N14" s="35"/>
      <c r="O14" s="35"/>
      <c r="P14" s="35"/>
      <c r="Q14" s="35"/>
    </row>
    <row r="15" spans="1:17" s="34" customFormat="1" ht="12.75" customHeight="1" x14ac:dyDescent="0.25">
      <c r="A15" s="35"/>
      <c r="B15" s="11" t="s">
        <v>5</v>
      </c>
      <c r="C15" s="35"/>
      <c r="D15" s="12" t="s">
        <v>4</v>
      </c>
      <c r="E15" s="35"/>
      <c r="F15" s="11"/>
      <c r="G15" s="11"/>
      <c r="H15" s="11"/>
      <c r="I15" s="11"/>
      <c r="J15" s="40"/>
      <c r="K15" s="13"/>
      <c r="L15" s="11"/>
      <c r="M15" s="35"/>
      <c r="N15" s="35"/>
      <c r="O15" s="35"/>
      <c r="P15" s="35"/>
      <c r="Q15" s="35"/>
    </row>
    <row r="16" spans="1:17" s="34" customFormat="1" ht="12.75" customHeight="1" x14ac:dyDescent="0.25">
      <c r="A16" s="35"/>
      <c r="B16" s="11" t="s">
        <v>6</v>
      </c>
      <c r="C16" s="31">
        <f>O96</f>
        <v>618.98249999999996</v>
      </c>
      <c r="D16" s="12" t="s">
        <v>7</v>
      </c>
      <c r="E16" s="35"/>
      <c r="F16" s="11"/>
      <c r="G16" s="35"/>
      <c r="H16" s="11"/>
      <c r="I16" s="11"/>
      <c r="J16" s="40"/>
      <c r="K16" s="14"/>
      <c r="L16" s="12"/>
      <c r="M16" s="35"/>
      <c r="N16" s="35"/>
      <c r="O16" s="35"/>
      <c r="P16" s="35"/>
      <c r="Q16" s="35"/>
    </row>
    <row r="17" spans="1:17" s="34" customFormat="1" ht="12.75" customHeight="1" x14ac:dyDescent="0.25">
      <c r="A17" s="35"/>
      <c r="B17" s="11" t="s">
        <v>8</v>
      </c>
      <c r="C17" s="31">
        <f>Q96</f>
        <v>0</v>
      </c>
      <c r="D17" s="12" t="s">
        <v>7</v>
      </c>
      <c r="E17" s="35"/>
      <c r="F17" s="11"/>
      <c r="G17" s="35"/>
      <c r="H17" s="11"/>
      <c r="I17" s="11"/>
      <c r="J17" s="40"/>
      <c r="K17" s="14"/>
      <c r="L17" s="12"/>
      <c r="M17" s="35"/>
      <c r="N17" s="35"/>
      <c r="O17" s="35"/>
      <c r="P17" s="35"/>
      <c r="Q17" s="35"/>
    </row>
    <row r="18" spans="1:17" s="34" customFormat="1" ht="6" customHeight="1" x14ac:dyDescent="0.25">
      <c r="A18" s="11"/>
      <c r="B18" s="11"/>
      <c r="C18" s="35"/>
      <c r="D18" s="15"/>
      <c r="E18" s="16"/>
      <c r="F18" s="11"/>
      <c r="G18" s="11"/>
      <c r="H18" s="11"/>
      <c r="I18" s="11"/>
      <c r="J18" s="40"/>
      <c r="K18" s="11"/>
      <c r="L18" s="35"/>
      <c r="M18" s="35"/>
      <c r="N18" s="35"/>
      <c r="O18" s="35"/>
      <c r="P18" s="35"/>
      <c r="Q18" s="35"/>
    </row>
    <row r="19" spans="1:17" s="34" customFormat="1" ht="15" customHeight="1" x14ac:dyDescent="0.25">
      <c r="A19" s="69" t="s">
        <v>9</v>
      </c>
      <c r="B19" s="69" t="s">
        <v>10</v>
      </c>
      <c r="C19" s="69" t="s">
        <v>11</v>
      </c>
      <c r="D19" s="69" t="s">
        <v>12</v>
      </c>
      <c r="E19" s="69" t="s">
        <v>13</v>
      </c>
      <c r="F19" s="69" t="s">
        <v>14</v>
      </c>
      <c r="G19" s="69"/>
      <c r="H19" s="69"/>
      <c r="I19" s="69"/>
      <c r="J19" s="69" t="s">
        <v>15</v>
      </c>
      <c r="K19" s="69"/>
      <c r="L19" s="69"/>
      <c r="M19" s="69"/>
      <c r="N19" s="69" t="s">
        <v>16</v>
      </c>
      <c r="O19" s="69" t="s">
        <v>17</v>
      </c>
      <c r="P19" s="69" t="s">
        <v>18</v>
      </c>
      <c r="Q19" s="69" t="s">
        <v>19</v>
      </c>
    </row>
    <row r="20" spans="1:17" s="34" customFormat="1" ht="15" customHeight="1" x14ac:dyDescent="0.25">
      <c r="A20" s="69"/>
      <c r="B20" s="69"/>
      <c r="C20" s="69"/>
      <c r="D20" s="69"/>
      <c r="E20" s="69"/>
      <c r="F20" s="69" t="s">
        <v>20</v>
      </c>
      <c r="G20" s="69" t="s">
        <v>21</v>
      </c>
      <c r="H20" s="69"/>
      <c r="I20" s="69"/>
      <c r="J20" s="80" t="s">
        <v>20</v>
      </c>
      <c r="K20" s="70" t="s">
        <v>21</v>
      </c>
      <c r="L20" s="70"/>
      <c r="M20" s="70"/>
      <c r="N20" s="70"/>
      <c r="O20" s="70"/>
      <c r="P20" s="70"/>
      <c r="Q20" s="70"/>
    </row>
    <row r="21" spans="1:17" s="34" customFormat="1" ht="18.75" customHeight="1" x14ac:dyDescent="0.25">
      <c r="A21" s="69"/>
      <c r="B21" s="69"/>
      <c r="C21" s="69"/>
      <c r="D21" s="69"/>
      <c r="E21" s="69"/>
      <c r="F21" s="69"/>
      <c r="G21" s="17" t="s">
        <v>22</v>
      </c>
      <c r="H21" s="17" t="s">
        <v>23</v>
      </c>
      <c r="I21" s="17" t="s">
        <v>24</v>
      </c>
      <c r="J21" s="80"/>
      <c r="K21" s="17" t="s">
        <v>22</v>
      </c>
      <c r="L21" s="17" t="s">
        <v>23</v>
      </c>
      <c r="M21" s="17" t="s">
        <v>24</v>
      </c>
      <c r="N21" s="70"/>
      <c r="O21" s="70"/>
      <c r="P21" s="70"/>
      <c r="Q21" s="70"/>
    </row>
    <row r="22" spans="1:17" s="34" customFormat="1" ht="15" x14ac:dyDescent="0.25">
      <c r="A22" s="32">
        <v>1</v>
      </c>
      <c r="B22" s="32">
        <v>2</v>
      </c>
      <c r="C22" s="32">
        <v>3</v>
      </c>
      <c r="D22" s="32">
        <v>4</v>
      </c>
      <c r="E22" s="32">
        <v>5</v>
      </c>
      <c r="F22" s="32">
        <v>6</v>
      </c>
      <c r="G22" s="32">
        <v>7</v>
      </c>
      <c r="H22" s="32">
        <v>8</v>
      </c>
      <c r="I22" s="32">
        <v>9</v>
      </c>
      <c r="J22" s="41">
        <v>10</v>
      </c>
      <c r="K22" s="32">
        <v>11</v>
      </c>
      <c r="L22" s="32">
        <v>12</v>
      </c>
      <c r="M22" s="32">
        <v>13</v>
      </c>
      <c r="N22" s="32">
        <v>14</v>
      </c>
      <c r="O22" s="32">
        <v>15</v>
      </c>
      <c r="P22" s="32">
        <v>16</v>
      </c>
      <c r="Q22" s="32">
        <v>17</v>
      </c>
    </row>
    <row r="23" spans="1:17" s="34" customFormat="1" ht="15" customHeight="1" x14ac:dyDescent="0.25">
      <c r="A23" s="71" t="s">
        <v>50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</row>
    <row r="24" spans="1:17" s="62" customFormat="1" ht="26.25" customHeight="1" x14ac:dyDescent="0.2">
      <c r="A24" s="60">
        <v>1</v>
      </c>
      <c r="B24" s="51" t="s">
        <v>51</v>
      </c>
      <c r="C24" s="53" t="s">
        <v>56</v>
      </c>
      <c r="D24" s="51" t="s">
        <v>57</v>
      </c>
      <c r="E24" s="61">
        <v>179</v>
      </c>
      <c r="F24" s="61">
        <v>3186</v>
      </c>
      <c r="G24" s="45"/>
      <c r="H24" s="45"/>
      <c r="I24" s="45"/>
      <c r="J24" s="61">
        <f t="shared" ref="J24:J51" si="0">ROUND(F24*E24,2)</f>
        <v>570294</v>
      </c>
      <c r="K24" s="63"/>
      <c r="L24" s="63"/>
      <c r="M24" s="63"/>
      <c r="N24" s="54">
        <v>1.2</v>
      </c>
      <c r="O24" s="54">
        <f>N24*E24</f>
        <v>214.79999999999998</v>
      </c>
      <c r="P24" s="63"/>
      <c r="Q24" s="54">
        <f>P24*E24</f>
        <v>0</v>
      </c>
    </row>
    <row r="25" spans="1:17" s="34" customFormat="1" ht="26.25" customHeight="1" x14ac:dyDescent="0.25">
      <c r="A25" s="59" t="s">
        <v>109</v>
      </c>
      <c r="B25" s="52" t="s">
        <v>37</v>
      </c>
      <c r="C25" s="55" t="s">
        <v>58</v>
      </c>
      <c r="D25" s="52" t="s">
        <v>59</v>
      </c>
      <c r="E25" s="64">
        <v>61</v>
      </c>
      <c r="F25" s="54">
        <v>141472</v>
      </c>
      <c r="G25" s="45"/>
      <c r="H25" s="45"/>
      <c r="I25" s="45"/>
      <c r="J25" s="54">
        <v>457454.5</v>
      </c>
      <c r="K25" s="45"/>
      <c r="L25" s="45"/>
      <c r="M25" s="45"/>
      <c r="N25" s="54"/>
      <c r="O25" s="45"/>
      <c r="P25" s="45"/>
      <c r="Q25" s="45"/>
    </row>
    <row r="26" spans="1:17" s="34" customFormat="1" ht="26.25" customHeight="1" x14ac:dyDescent="0.25">
      <c r="A26" s="59">
        <v>3</v>
      </c>
      <c r="B26" s="52" t="s">
        <v>37</v>
      </c>
      <c r="C26" s="56" t="s">
        <v>60</v>
      </c>
      <c r="D26" s="52" t="s">
        <v>59</v>
      </c>
      <c r="E26" s="64">
        <v>788</v>
      </c>
      <c r="F26" s="64">
        <v>10.25</v>
      </c>
      <c r="G26" s="45"/>
      <c r="H26" s="45"/>
      <c r="I26" s="45"/>
      <c r="J26" s="54">
        <f t="shared" si="0"/>
        <v>8077</v>
      </c>
      <c r="K26" s="45"/>
      <c r="L26" s="45"/>
      <c r="M26" s="45"/>
      <c r="N26" s="54"/>
      <c r="O26" s="45"/>
      <c r="P26" s="45"/>
      <c r="Q26" s="45"/>
    </row>
    <row r="27" spans="1:17" s="34" customFormat="1" ht="26.25" customHeight="1" x14ac:dyDescent="0.25">
      <c r="A27" s="59">
        <v>4</v>
      </c>
      <c r="B27" s="52" t="s">
        <v>37</v>
      </c>
      <c r="C27" s="56" t="s">
        <v>61</v>
      </c>
      <c r="D27" s="52" t="s">
        <v>59</v>
      </c>
      <c r="E27" s="64">
        <v>591</v>
      </c>
      <c r="F27" s="64">
        <v>7.98</v>
      </c>
      <c r="G27" s="45"/>
      <c r="H27" s="45"/>
      <c r="I27" s="45"/>
      <c r="J27" s="54">
        <f t="shared" si="0"/>
        <v>4716.18</v>
      </c>
      <c r="K27" s="45"/>
      <c r="L27" s="45"/>
      <c r="M27" s="45"/>
      <c r="N27" s="54"/>
      <c r="O27" s="45"/>
      <c r="P27" s="45"/>
      <c r="Q27" s="45"/>
    </row>
    <row r="28" spans="1:17" s="34" customFormat="1" ht="26.25" customHeight="1" x14ac:dyDescent="0.25">
      <c r="A28" s="59">
        <v>5</v>
      </c>
      <c r="B28" s="52" t="s">
        <v>37</v>
      </c>
      <c r="C28" s="56" t="s">
        <v>62</v>
      </c>
      <c r="D28" s="52" t="s">
        <v>34</v>
      </c>
      <c r="E28" s="64">
        <v>35</v>
      </c>
      <c r="F28" s="65">
        <v>72.25</v>
      </c>
      <c r="G28" s="45"/>
      <c r="H28" s="45"/>
      <c r="I28" s="45"/>
      <c r="J28" s="54">
        <f t="shared" si="0"/>
        <v>2528.75</v>
      </c>
      <c r="K28" s="45"/>
      <c r="L28" s="45"/>
      <c r="M28" s="45"/>
      <c r="N28" s="54"/>
      <c r="O28" s="45"/>
      <c r="P28" s="45"/>
      <c r="Q28" s="45"/>
    </row>
    <row r="29" spans="1:17" s="34" customFormat="1" ht="26.25" customHeight="1" x14ac:dyDescent="0.25">
      <c r="A29" s="59">
        <v>6</v>
      </c>
      <c r="B29" s="52" t="s">
        <v>37</v>
      </c>
      <c r="C29" s="56" t="s">
        <v>63</v>
      </c>
      <c r="D29" s="52" t="s">
        <v>34</v>
      </c>
      <c r="E29" s="54">
        <f>70/2</f>
        <v>35</v>
      </c>
      <c r="F29" s="65">
        <v>72.25</v>
      </c>
      <c r="G29" s="45"/>
      <c r="H29" s="45"/>
      <c r="I29" s="45"/>
      <c r="J29" s="54">
        <f t="shared" si="0"/>
        <v>2528.75</v>
      </c>
      <c r="K29" s="45"/>
      <c r="L29" s="45"/>
      <c r="M29" s="45"/>
      <c r="N29" s="54"/>
      <c r="O29" s="45"/>
      <c r="P29" s="45"/>
      <c r="Q29" s="45"/>
    </row>
    <row r="30" spans="1:17" s="34" customFormat="1" ht="26.25" customHeight="1" x14ac:dyDescent="0.25">
      <c r="A30" s="59">
        <v>7</v>
      </c>
      <c r="B30" s="52" t="s">
        <v>37</v>
      </c>
      <c r="C30" s="56" t="s">
        <v>64</v>
      </c>
      <c r="D30" s="57" t="s">
        <v>34</v>
      </c>
      <c r="E30" s="54">
        <f t="shared" ref="E30:E33" si="1">70/2</f>
        <v>35</v>
      </c>
      <c r="F30" s="65">
        <v>578.78</v>
      </c>
      <c r="G30" s="45"/>
      <c r="H30" s="45"/>
      <c r="I30" s="45"/>
      <c r="J30" s="54">
        <f t="shared" si="0"/>
        <v>20257.3</v>
      </c>
      <c r="K30" s="45"/>
      <c r="L30" s="45"/>
      <c r="M30" s="45"/>
      <c r="N30" s="54"/>
      <c r="O30" s="45"/>
      <c r="P30" s="45"/>
      <c r="Q30" s="45"/>
    </row>
    <row r="31" spans="1:17" s="34" customFormat="1" ht="26.25" customHeight="1" x14ac:dyDescent="0.25">
      <c r="A31" s="59">
        <v>8</v>
      </c>
      <c r="B31" s="52" t="s">
        <v>37</v>
      </c>
      <c r="C31" s="56" t="s">
        <v>65</v>
      </c>
      <c r="D31" s="57" t="s">
        <v>34</v>
      </c>
      <c r="E31" s="54">
        <f t="shared" si="1"/>
        <v>35</v>
      </c>
      <c r="F31" s="65">
        <v>404.88</v>
      </c>
      <c r="G31" s="45"/>
      <c r="H31" s="45"/>
      <c r="I31" s="45"/>
      <c r="J31" s="54">
        <f t="shared" si="0"/>
        <v>14170.8</v>
      </c>
      <c r="K31" s="45"/>
      <c r="L31" s="45"/>
      <c r="M31" s="45"/>
      <c r="N31" s="54"/>
      <c r="O31" s="45"/>
      <c r="P31" s="45"/>
      <c r="Q31" s="45"/>
    </row>
    <row r="32" spans="1:17" s="34" customFormat="1" ht="26.25" customHeight="1" x14ac:dyDescent="0.25">
      <c r="A32" s="59">
        <v>9</v>
      </c>
      <c r="B32" s="52" t="s">
        <v>37</v>
      </c>
      <c r="C32" s="56" t="s">
        <v>66</v>
      </c>
      <c r="D32" s="57" t="s">
        <v>34</v>
      </c>
      <c r="E32" s="54">
        <f t="shared" si="1"/>
        <v>35</v>
      </c>
      <c r="F32" s="65">
        <v>1422.8</v>
      </c>
      <c r="G32" s="45"/>
      <c r="H32" s="45"/>
      <c r="I32" s="45"/>
      <c r="J32" s="54">
        <f t="shared" si="0"/>
        <v>49798</v>
      </c>
      <c r="K32" s="45"/>
      <c r="L32" s="45"/>
      <c r="M32" s="45"/>
      <c r="N32" s="54"/>
      <c r="O32" s="45"/>
      <c r="P32" s="45"/>
      <c r="Q32" s="45"/>
    </row>
    <row r="33" spans="1:17" s="34" customFormat="1" ht="26.25" customHeight="1" x14ac:dyDescent="0.25">
      <c r="A33" s="59">
        <v>10</v>
      </c>
      <c r="B33" s="52" t="s">
        <v>37</v>
      </c>
      <c r="C33" s="56" t="s">
        <v>67</v>
      </c>
      <c r="D33" s="57" t="s">
        <v>34</v>
      </c>
      <c r="E33" s="54">
        <f t="shared" si="1"/>
        <v>35</v>
      </c>
      <c r="F33" s="65">
        <v>939.76</v>
      </c>
      <c r="G33" s="45"/>
      <c r="H33" s="45"/>
      <c r="I33" s="45"/>
      <c r="J33" s="54">
        <f t="shared" si="0"/>
        <v>32891.599999999999</v>
      </c>
      <c r="K33" s="45"/>
      <c r="L33" s="45"/>
      <c r="M33" s="45"/>
      <c r="N33" s="54"/>
      <c r="O33" s="45"/>
      <c r="P33" s="45"/>
      <c r="Q33" s="45"/>
    </row>
    <row r="34" spans="1:17" s="34" customFormat="1" ht="26.25" customHeight="1" x14ac:dyDescent="0.25">
      <c r="A34" s="59">
        <v>11</v>
      </c>
      <c r="B34" s="52" t="s">
        <v>37</v>
      </c>
      <c r="C34" s="56" t="s">
        <v>68</v>
      </c>
      <c r="D34" s="57" t="s">
        <v>34</v>
      </c>
      <c r="E34" s="54">
        <f>5.4/2</f>
        <v>2.7</v>
      </c>
      <c r="F34" s="65">
        <v>939.76</v>
      </c>
      <c r="G34" s="45"/>
      <c r="H34" s="45"/>
      <c r="I34" s="45"/>
      <c r="J34" s="54">
        <f t="shared" si="0"/>
        <v>2537.35</v>
      </c>
      <c r="K34" s="45"/>
      <c r="L34" s="45"/>
      <c r="M34" s="45"/>
      <c r="N34" s="54"/>
      <c r="O34" s="45"/>
      <c r="P34" s="45"/>
      <c r="Q34" s="45"/>
    </row>
    <row r="35" spans="1:17" s="34" customFormat="1" ht="26.25" customHeight="1" x14ac:dyDescent="0.25">
      <c r="A35" s="59">
        <v>12</v>
      </c>
      <c r="B35" s="52" t="s">
        <v>37</v>
      </c>
      <c r="C35" s="56" t="s">
        <v>69</v>
      </c>
      <c r="D35" s="57" t="s">
        <v>59</v>
      </c>
      <c r="E35" s="54">
        <f>4/2</f>
        <v>2</v>
      </c>
      <c r="F35" s="64">
        <v>2977.35</v>
      </c>
      <c r="G35" s="45"/>
      <c r="H35" s="45"/>
      <c r="I35" s="45"/>
      <c r="J35" s="54">
        <f t="shared" si="0"/>
        <v>5954.7</v>
      </c>
      <c r="K35" s="45"/>
      <c r="L35" s="45"/>
      <c r="M35" s="45"/>
      <c r="N35" s="54"/>
      <c r="O35" s="45"/>
      <c r="P35" s="45"/>
      <c r="Q35" s="45"/>
    </row>
    <row r="36" spans="1:17" s="34" customFormat="1" ht="26.25" customHeight="1" x14ac:dyDescent="0.25">
      <c r="A36" s="59">
        <v>13</v>
      </c>
      <c r="B36" s="52" t="s">
        <v>37</v>
      </c>
      <c r="C36" s="56" t="s">
        <v>70</v>
      </c>
      <c r="D36" s="52" t="s">
        <v>59</v>
      </c>
      <c r="E36" s="54">
        <f>+ROUND(37/2,0)</f>
        <v>19</v>
      </c>
      <c r="F36" s="54">
        <v>10.25</v>
      </c>
      <c r="G36" s="45"/>
      <c r="H36" s="45"/>
      <c r="I36" s="45"/>
      <c r="J36" s="54">
        <f t="shared" si="0"/>
        <v>194.75</v>
      </c>
      <c r="K36" s="45"/>
      <c r="L36" s="45"/>
      <c r="M36" s="45"/>
      <c r="N36" s="54"/>
      <c r="O36" s="45"/>
      <c r="P36" s="45"/>
      <c r="Q36" s="45"/>
    </row>
    <row r="37" spans="1:17" s="34" customFormat="1" ht="26.25" customHeight="1" x14ac:dyDescent="0.25">
      <c r="A37" s="59">
        <v>14</v>
      </c>
      <c r="B37" s="52" t="s">
        <v>37</v>
      </c>
      <c r="C37" s="56" t="s">
        <v>71</v>
      </c>
      <c r="D37" s="52" t="s">
        <v>59</v>
      </c>
      <c r="E37" s="54">
        <f>+ROUND(1128/2,0)</f>
        <v>564</v>
      </c>
      <c r="F37" s="54">
        <v>7.98</v>
      </c>
      <c r="G37" s="45"/>
      <c r="H37" s="45"/>
      <c r="I37" s="45"/>
      <c r="J37" s="54">
        <f t="shared" si="0"/>
        <v>4500.72</v>
      </c>
      <c r="K37" s="45"/>
      <c r="L37" s="45"/>
      <c r="M37" s="45"/>
      <c r="N37" s="54"/>
      <c r="O37" s="45"/>
      <c r="P37" s="45"/>
      <c r="Q37" s="45"/>
    </row>
    <row r="38" spans="1:17" s="34" customFormat="1" ht="26.25" customHeight="1" x14ac:dyDescent="0.25">
      <c r="A38" s="59">
        <v>15</v>
      </c>
      <c r="B38" s="52" t="s">
        <v>37</v>
      </c>
      <c r="C38" s="56" t="s">
        <v>72</v>
      </c>
      <c r="D38" s="52" t="s">
        <v>59</v>
      </c>
      <c r="E38" s="54">
        <f>+ROUND(352/2,0)</f>
        <v>176</v>
      </c>
      <c r="F38" s="64">
        <v>1</v>
      </c>
      <c r="G38" s="45"/>
      <c r="H38" s="45"/>
      <c r="I38" s="45"/>
      <c r="J38" s="54">
        <f t="shared" si="0"/>
        <v>176</v>
      </c>
      <c r="K38" s="45"/>
      <c r="L38" s="45"/>
      <c r="M38" s="45"/>
      <c r="N38" s="54"/>
      <c r="O38" s="45"/>
      <c r="P38" s="45"/>
      <c r="Q38" s="45"/>
    </row>
    <row r="39" spans="1:17" s="34" customFormat="1" ht="26.25" customHeight="1" x14ac:dyDescent="0.25">
      <c r="A39" s="59">
        <v>16</v>
      </c>
      <c r="B39" s="52" t="s">
        <v>37</v>
      </c>
      <c r="C39" s="56" t="s">
        <v>73</v>
      </c>
      <c r="D39" s="52" t="s">
        <v>34</v>
      </c>
      <c r="E39" s="54">
        <f>70/2</f>
        <v>35</v>
      </c>
      <c r="F39" s="64">
        <f>1449.49/3</f>
        <v>483.16333333333336</v>
      </c>
      <c r="G39" s="45"/>
      <c r="H39" s="45"/>
      <c r="I39" s="45"/>
      <c r="J39" s="54">
        <f t="shared" si="0"/>
        <v>16910.72</v>
      </c>
      <c r="K39" s="45"/>
      <c r="L39" s="45"/>
      <c r="M39" s="45"/>
      <c r="N39" s="54"/>
      <c r="O39" s="45"/>
      <c r="P39" s="45"/>
      <c r="Q39" s="45"/>
    </row>
    <row r="40" spans="1:17" s="34" customFormat="1" ht="26.25" customHeight="1" x14ac:dyDescent="0.25">
      <c r="A40" s="59">
        <v>17</v>
      </c>
      <c r="B40" s="52" t="s">
        <v>37</v>
      </c>
      <c r="C40" s="56" t="s">
        <v>74</v>
      </c>
      <c r="D40" s="52" t="s">
        <v>59</v>
      </c>
      <c r="E40" s="54">
        <v>24</v>
      </c>
      <c r="F40" s="64">
        <v>1</v>
      </c>
      <c r="G40" s="45"/>
      <c r="H40" s="45"/>
      <c r="I40" s="45"/>
      <c r="J40" s="54">
        <f t="shared" si="0"/>
        <v>24</v>
      </c>
      <c r="K40" s="45"/>
      <c r="L40" s="45"/>
      <c r="M40" s="45"/>
      <c r="N40" s="54"/>
      <c r="O40" s="45"/>
      <c r="P40" s="45"/>
      <c r="Q40" s="45"/>
    </row>
    <row r="41" spans="1:17" s="34" customFormat="1" ht="26.25" customHeight="1" x14ac:dyDescent="0.25">
      <c r="A41" s="59">
        <v>18</v>
      </c>
      <c r="B41" s="52" t="s">
        <v>37</v>
      </c>
      <c r="C41" s="56" t="s">
        <v>75</v>
      </c>
      <c r="D41" s="52" t="s">
        <v>59</v>
      </c>
      <c r="E41" s="54">
        <f>8/2</f>
        <v>4</v>
      </c>
      <c r="F41" s="64">
        <v>234.46</v>
      </c>
      <c r="G41" s="45"/>
      <c r="H41" s="45"/>
      <c r="I41" s="45"/>
      <c r="J41" s="54">
        <f t="shared" si="0"/>
        <v>937.84</v>
      </c>
      <c r="K41" s="45"/>
      <c r="L41" s="45"/>
      <c r="M41" s="45"/>
      <c r="N41" s="54"/>
      <c r="O41" s="45"/>
      <c r="P41" s="45"/>
      <c r="Q41" s="45"/>
    </row>
    <row r="42" spans="1:17" s="34" customFormat="1" ht="26.25" customHeight="1" x14ac:dyDescent="0.25">
      <c r="A42" s="59">
        <v>19</v>
      </c>
      <c r="B42" s="52" t="s">
        <v>37</v>
      </c>
      <c r="C42" s="56" t="s">
        <v>76</v>
      </c>
      <c r="D42" s="52" t="s">
        <v>59</v>
      </c>
      <c r="E42" s="54">
        <f>172/2</f>
        <v>86</v>
      </c>
      <c r="F42" s="54">
        <v>423.81</v>
      </c>
      <c r="G42" s="45"/>
      <c r="H42" s="45"/>
      <c r="I42" s="45"/>
      <c r="J42" s="54">
        <f t="shared" si="0"/>
        <v>36447.660000000003</v>
      </c>
      <c r="K42" s="45"/>
      <c r="L42" s="45"/>
      <c r="M42" s="45"/>
      <c r="N42" s="54"/>
      <c r="O42" s="45"/>
      <c r="P42" s="45"/>
      <c r="Q42" s="45"/>
    </row>
    <row r="43" spans="1:17" s="34" customFormat="1" ht="26.25" customHeight="1" x14ac:dyDescent="0.25">
      <c r="A43" s="59">
        <v>20</v>
      </c>
      <c r="B43" s="52" t="s">
        <v>37</v>
      </c>
      <c r="C43" s="56" t="s">
        <v>77</v>
      </c>
      <c r="D43" s="52" t="s">
        <v>59</v>
      </c>
      <c r="E43" s="54">
        <f>6/2</f>
        <v>3</v>
      </c>
      <c r="F43" s="54">
        <v>671.73</v>
      </c>
      <c r="G43" s="45"/>
      <c r="H43" s="45"/>
      <c r="I43" s="45"/>
      <c r="J43" s="54">
        <f t="shared" si="0"/>
        <v>2015.19</v>
      </c>
      <c r="K43" s="45"/>
      <c r="L43" s="45"/>
      <c r="M43" s="45"/>
      <c r="N43" s="54"/>
      <c r="O43" s="45"/>
      <c r="P43" s="45"/>
      <c r="Q43" s="45"/>
    </row>
    <row r="44" spans="1:17" s="34" customFormat="1" ht="26.25" customHeight="1" x14ac:dyDescent="0.25">
      <c r="A44" s="59">
        <v>21</v>
      </c>
      <c r="B44" s="52" t="s">
        <v>37</v>
      </c>
      <c r="C44" s="56" t="s">
        <v>78</v>
      </c>
      <c r="D44" s="52" t="s">
        <v>34</v>
      </c>
      <c r="E44" s="54">
        <f>42/2</f>
        <v>21</v>
      </c>
      <c r="F44" s="64">
        <f>2275.6/3</f>
        <v>758.5333333333333</v>
      </c>
      <c r="G44" s="45"/>
      <c r="H44" s="45"/>
      <c r="I44" s="45"/>
      <c r="J44" s="54">
        <f t="shared" si="0"/>
        <v>15929.2</v>
      </c>
      <c r="K44" s="45"/>
      <c r="L44" s="45"/>
      <c r="M44" s="45"/>
      <c r="N44" s="54"/>
      <c r="O44" s="45"/>
      <c r="P44" s="45"/>
      <c r="Q44" s="45"/>
    </row>
    <row r="45" spans="1:17" s="34" customFormat="1" ht="26.25" customHeight="1" x14ac:dyDescent="0.25">
      <c r="A45" s="59">
        <v>22</v>
      </c>
      <c r="B45" s="52" t="s">
        <v>37</v>
      </c>
      <c r="C45" s="56" t="s">
        <v>79</v>
      </c>
      <c r="D45" s="52" t="s">
        <v>59</v>
      </c>
      <c r="E45" s="54">
        <f>48/2</f>
        <v>24</v>
      </c>
      <c r="F45" s="54">
        <v>238.68</v>
      </c>
      <c r="G45" s="45"/>
      <c r="H45" s="45"/>
      <c r="I45" s="45"/>
      <c r="J45" s="54">
        <f t="shared" si="0"/>
        <v>5728.32</v>
      </c>
      <c r="K45" s="45"/>
      <c r="L45" s="45"/>
      <c r="M45" s="45"/>
      <c r="N45" s="54"/>
      <c r="O45" s="45"/>
      <c r="P45" s="45"/>
      <c r="Q45" s="45"/>
    </row>
    <row r="46" spans="1:17" s="34" customFormat="1" ht="26.25" customHeight="1" x14ac:dyDescent="0.25">
      <c r="A46" s="59">
        <v>23</v>
      </c>
      <c r="B46" s="52" t="s">
        <v>37</v>
      </c>
      <c r="C46" s="56" t="s">
        <v>80</v>
      </c>
      <c r="D46" s="52" t="s">
        <v>59</v>
      </c>
      <c r="E46" s="54">
        <f>20/2</f>
        <v>10</v>
      </c>
      <c r="F46" s="54">
        <v>390.08</v>
      </c>
      <c r="G46" s="45"/>
      <c r="H46" s="45"/>
      <c r="I46" s="45"/>
      <c r="J46" s="54">
        <f t="shared" si="0"/>
        <v>3900.8</v>
      </c>
      <c r="K46" s="45"/>
      <c r="L46" s="45"/>
      <c r="M46" s="45"/>
      <c r="N46" s="54"/>
      <c r="O46" s="45"/>
      <c r="P46" s="45"/>
      <c r="Q46" s="45"/>
    </row>
    <row r="47" spans="1:17" s="34" customFormat="1" ht="26.25" customHeight="1" x14ac:dyDescent="0.25">
      <c r="A47" s="59">
        <v>24</v>
      </c>
      <c r="B47" s="52" t="s">
        <v>37</v>
      </c>
      <c r="C47" s="56" t="s">
        <v>81</v>
      </c>
      <c r="D47" s="52" t="s">
        <v>34</v>
      </c>
      <c r="E47" s="54">
        <f>ROUND(15/2,0)</f>
        <v>8</v>
      </c>
      <c r="F47" s="64">
        <v>87.3</v>
      </c>
      <c r="G47" s="45"/>
      <c r="H47" s="45"/>
      <c r="I47" s="45"/>
      <c r="J47" s="54">
        <f t="shared" si="0"/>
        <v>698.4</v>
      </c>
      <c r="K47" s="45"/>
      <c r="L47" s="45"/>
      <c r="M47" s="45"/>
      <c r="N47" s="54"/>
      <c r="O47" s="45"/>
      <c r="P47" s="45"/>
      <c r="Q47" s="45"/>
    </row>
    <row r="48" spans="1:17" s="34" customFormat="1" ht="26.25" customHeight="1" x14ac:dyDescent="0.25">
      <c r="A48" s="59">
        <v>25</v>
      </c>
      <c r="B48" s="52" t="s">
        <v>37</v>
      </c>
      <c r="C48" s="56" t="s">
        <v>82</v>
      </c>
      <c r="D48" s="52" t="s">
        <v>34</v>
      </c>
      <c r="E48" s="54">
        <f>ROUND(3/2,0)</f>
        <v>2</v>
      </c>
      <c r="F48" s="64">
        <v>708.73</v>
      </c>
      <c r="G48" s="45"/>
      <c r="H48" s="45"/>
      <c r="I48" s="45"/>
      <c r="J48" s="54">
        <f t="shared" si="0"/>
        <v>1417.46</v>
      </c>
      <c r="K48" s="45"/>
      <c r="L48" s="45"/>
      <c r="M48" s="45"/>
      <c r="N48" s="54"/>
      <c r="O48" s="45"/>
      <c r="P48" s="45"/>
      <c r="Q48" s="45"/>
    </row>
    <row r="49" spans="1:17" s="62" customFormat="1" ht="26.25" customHeight="1" x14ac:dyDescent="0.2">
      <c r="A49" s="60">
        <v>26</v>
      </c>
      <c r="B49" s="51" t="s">
        <v>52</v>
      </c>
      <c r="C49" s="58" t="s">
        <v>83</v>
      </c>
      <c r="D49" s="51" t="s">
        <v>35</v>
      </c>
      <c r="E49" s="61">
        <v>0.28000000000000003</v>
      </c>
      <c r="F49" s="61">
        <v>141472.06</v>
      </c>
      <c r="G49" s="45"/>
      <c r="H49" s="45"/>
      <c r="I49" s="45"/>
      <c r="J49" s="61">
        <f t="shared" si="0"/>
        <v>39612.18</v>
      </c>
      <c r="K49" s="63"/>
      <c r="L49" s="63"/>
      <c r="M49" s="63"/>
      <c r="N49" s="54">
        <v>56</v>
      </c>
      <c r="O49" s="54">
        <f>N49*E49</f>
        <v>15.680000000000001</v>
      </c>
      <c r="P49" s="63"/>
      <c r="Q49" s="54">
        <f>P49*E49</f>
        <v>0</v>
      </c>
    </row>
    <row r="50" spans="1:17" s="34" customFormat="1" ht="26.25" customHeight="1" x14ac:dyDescent="0.25">
      <c r="A50" s="59">
        <v>27</v>
      </c>
      <c r="B50" s="52" t="s">
        <v>37</v>
      </c>
      <c r="C50" s="56" t="s">
        <v>84</v>
      </c>
      <c r="D50" s="52" t="s">
        <v>59</v>
      </c>
      <c r="E50" s="54">
        <f>ROUND(148/3/2,0)</f>
        <v>25</v>
      </c>
      <c r="F50" s="54">
        <v>2402.7800000000002</v>
      </c>
      <c r="G50" s="45"/>
      <c r="H50" s="45"/>
      <c r="I50" s="45"/>
      <c r="J50" s="54">
        <f t="shared" si="0"/>
        <v>60069.5</v>
      </c>
      <c r="K50" s="45"/>
      <c r="L50" s="45"/>
      <c r="M50" s="45"/>
      <c r="N50" s="54"/>
      <c r="O50" s="45"/>
      <c r="P50" s="45"/>
      <c r="Q50" s="45"/>
    </row>
    <row r="51" spans="1:17" s="34" customFormat="1" ht="26.25" customHeight="1" x14ac:dyDescent="0.25">
      <c r="A51" s="59">
        <v>28</v>
      </c>
      <c r="B51" s="52" t="s">
        <v>37</v>
      </c>
      <c r="C51" s="56" t="s">
        <v>85</v>
      </c>
      <c r="D51" s="52" t="s">
        <v>59</v>
      </c>
      <c r="E51" s="54">
        <f>396/2</f>
        <v>198</v>
      </c>
      <c r="F51" s="54">
        <v>329.8</v>
      </c>
      <c r="G51" s="45"/>
      <c r="H51" s="45"/>
      <c r="I51" s="45"/>
      <c r="J51" s="54">
        <f t="shared" si="0"/>
        <v>65300.4</v>
      </c>
      <c r="K51" s="45"/>
      <c r="L51" s="45"/>
      <c r="M51" s="45"/>
      <c r="N51" s="54"/>
      <c r="O51" s="45"/>
      <c r="P51" s="45"/>
      <c r="Q51" s="45"/>
    </row>
    <row r="52" spans="1:17" s="62" customFormat="1" ht="26.25" customHeight="1" x14ac:dyDescent="0.2">
      <c r="A52" s="60">
        <v>29</v>
      </c>
      <c r="B52" s="51" t="s">
        <v>53</v>
      </c>
      <c r="C52" s="53" t="s">
        <v>86</v>
      </c>
      <c r="D52" s="51" t="s">
        <v>57</v>
      </c>
      <c r="E52" s="61">
        <f>(19.7+39.3+104.2)/2</f>
        <v>81.599999999999994</v>
      </c>
      <c r="F52" s="61">
        <v>1716</v>
      </c>
      <c r="G52" s="45"/>
      <c r="H52" s="45"/>
      <c r="I52" s="45"/>
      <c r="J52" s="61">
        <f>ROUND(F52*E52,2)+0.01</f>
        <v>140025.61000000002</v>
      </c>
      <c r="K52" s="63"/>
      <c r="L52" s="63"/>
      <c r="M52" s="63"/>
      <c r="N52" s="54">
        <v>0.73</v>
      </c>
      <c r="O52" s="54">
        <f>N52*E52</f>
        <v>59.567999999999998</v>
      </c>
      <c r="P52" s="63"/>
      <c r="Q52" s="54">
        <f>P52*E52</f>
        <v>0</v>
      </c>
    </row>
    <row r="53" spans="1:17" s="34" customFormat="1" ht="26.25" customHeight="1" x14ac:dyDescent="0.25">
      <c r="A53" s="59" t="s">
        <v>110</v>
      </c>
      <c r="B53" s="52" t="s">
        <v>37</v>
      </c>
      <c r="C53" s="56" t="s">
        <v>87</v>
      </c>
      <c r="D53" s="52" t="s">
        <v>59</v>
      </c>
      <c r="E53" s="54">
        <f>2/2</f>
        <v>1</v>
      </c>
      <c r="F53" s="54">
        <f t="shared" ref="F53:F60" si="2">J53/E53</f>
        <v>4644.58</v>
      </c>
      <c r="G53" s="45"/>
      <c r="H53" s="45"/>
      <c r="I53" s="45"/>
      <c r="J53" s="54">
        <v>4644.58</v>
      </c>
      <c r="K53" s="45"/>
      <c r="L53" s="45"/>
      <c r="M53" s="45"/>
      <c r="N53" s="54"/>
      <c r="O53" s="45"/>
      <c r="P53" s="45"/>
      <c r="Q53" s="45"/>
    </row>
    <row r="54" spans="1:17" s="34" customFormat="1" ht="26.25" customHeight="1" x14ac:dyDescent="0.25">
      <c r="A54" s="59" t="s">
        <v>111</v>
      </c>
      <c r="B54" s="52" t="s">
        <v>37</v>
      </c>
      <c r="C54" s="56" t="s">
        <v>88</v>
      </c>
      <c r="D54" s="52" t="s">
        <v>59</v>
      </c>
      <c r="E54" s="54">
        <f>4/2</f>
        <v>2</v>
      </c>
      <c r="F54" s="54">
        <f t="shared" si="2"/>
        <v>3108.78</v>
      </c>
      <c r="G54" s="45"/>
      <c r="H54" s="45"/>
      <c r="I54" s="45"/>
      <c r="J54" s="54">
        <v>6217.56</v>
      </c>
      <c r="K54" s="45"/>
      <c r="L54" s="45"/>
      <c r="M54" s="45"/>
      <c r="N54" s="54"/>
      <c r="O54" s="45"/>
      <c r="P54" s="45"/>
      <c r="Q54" s="45"/>
    </row>
    <row r="55" spans="1:17" s="34" customFormat="1" ht="26.25" customHeight="1" x14ac:dyDescent="0.25">
      <c r="A55" s="59" t="s">
        <v>112</v>
      </c>
      <c r="B55" s="52" t="s">
        <v>37</v>
      </c>
      <c r="C55" s="56" t="s">
        <v>89</v>
      </c>
      <c r="D55" s="52" t="s">
        <v>59</v>
      </c>
      <c r="E55" s="54">
        <f>ROUND(7/2,0)</f>
        <v>4</v>
      </c>
      <c r="F55" s="54">
        <f t="shared" si="2"/>
        <v>2961.9025000000001</v>
      </c>
      <c r="G55" s="45"/>
      <c r="H55" s="45"/>
      <c r="I55" s="45"/>
      <c r="J55" s="54">
        <v>11847.61</v>
      </c>
      <c r="K55" s="45"/>
      <c r="L55" s="45"/>
      <c r="M55" s="45"/>
      <c r="N55" s="54"/>
      <c r="O55" s="45"/>
      <c r="P55" s="45"/>
      <c r="Q55" s="45"/>
    </row>
    <row r="56" spans="1:17" s="34" customFormat="1" ht="26.25" customHeight="1" x14ac:dyDescent="0.25">
      <c r="A56" s="59" t="s">
        <v>113</v>
      </c>
      <c r="B56" s="52" t="s">
        <v>37</v>
      </c>
      <c r="C56" s="56" t="s">
        <v>90</v>
      </c>
      <c r="D56" s="52" t="s">
        <v>59</v>
      </c>
      <c r="E56" s="54">
        <f>2/2</f>
        <v>1</v>
      </c>
      <c r="F56" s="54">
        <f t="shared" si="2"/>
        <v>3108.78</v>
      </c>
      <c r="G56" s="45"/>
      <c r="H56" s="45"/>
      <c r="I56" s="45"/>
      <c r="J56" s="54">
        <v>3108.78</v>
      </c>
      <c r="K56" s="45"/>
      <c r="L56" s="45"/>
      <c r="M56" s="45"/>
      <c r="N56" s="54"/>
      <c r="O56" s="45"/>
      <c r="P56" s="45"/>
      <c r="Q56" s="45"/>
    </row>
    <row r="57" spans="1:17" s="34" customFormat="1" ht="26.25" customHeight="1" x14ac:dyDescent="0.25">
      <c r="A57" s="59" t="s">
        <v>114</v>
      </c>
      <c r="B57" s="52" t="s">
        <v>37</v>
      </c>
      <c r="C57" s="56" t="s">
        <v>91</v>
      </c>
      <c r="D57" s="52" t="s">
        <v>59</v>
      </c>
      <c r="E57" s="54">
        <f>2/2</f>
        <v>1</v>
      </c>
      <c r="F57" s="54">
        <f t="shared" si="2"/>
        <v>5519.4</v>
      </c>
      <c r="G57" s="45"/>
      <c r="H57" s="45"/>
      <c r="I57" s="45"/>
      <c r="J57" s="54">
        <v>5519.4</v>
      </c>
      <c r="K57" s="45"/>
      <c r="L57" s="45"/>
      <c r="M57" s="45"/>
      <c r="N57" s="54"/>
      <c r="O57" s="45"/>
      <c r="P57" s="45"/>
      <c r="Q57" s="45"/>
    </row>
    <row r="58" spans="1:17" s="34" customFormat="1" ht="26.25" customHeight="1" x14ac:dyDescent="0.25">
      <c r="A58" s="59" t="s">
        <v>115</v>
      </c>
      <c r="B58" s="52" t="s">
        <v>37</v>
      </c>
      <c r="C58" s="56" t="s">
        <v>92</v>
      </c>
      <c r="D58" s="52" t="s">
        <v>59</v>
      </c>
      <c r="E58" s="54">
        <f t="shared" ref="E58" si="3">4/2</f>
        <v>2</v>
      </c>
      <c r="F58" s="54">
        <f t="shared" si="2"/>
        <v>4027.2849999999999</v>
      </c>
      <c r="G58" s="45"/>
      <c r="H58" s="45"/>
      <c r="I58" s="45"/>
      <c r="J58" s="54">
        <v>8054.57</v>
      </c>
      <c r="K58" s="45"/>
      <c r="L58" s="45"/>
      <c r="M58" s="45"/>
      <c r="N58" s="54"/>
      <c r="O58" s="45"/>
      <c r="P58" s="45"/>
      <c r="Q58" s="45"/>
    </row>
    <row r="59" spans="1:17" s="34" customFormat="1" ht="26.25" customHeight="1" x14ac:dyDescent="0.25">
      <c r="A59" s="59" t="s">
        <v>116</v>
      </c>
      <c r="B59" s="52" t="s">
        <v>37</v>
      </c>
      <c r="C59" s="56" t="s">
        <v>93</v>
      </c>
      <c r="D59" s="52" t="s">
        <v>59</v>
      </c>
      <c r="E59" s="54">
        <f>8/2</f>
        <v>4</v>
      </c>
      <c r="F59" s="54">
        <f t="shared" si="2"/>
        <v>3836.7125000000001</v>
      </c>
      <c r="G59" s="45"/>
      <c r="H59" s="45"/>
      <c r="I59" s="45"/>
      <c r="J59" s="54">
        <v>15346.85</v>
      </c>
      <c r="K59" s="45"/>
      <c r="L59" s="45"/>
      <c r="M59" s="45"/>
      <c r="N59" s="54"/>
      <c r="O59" s="45"/>
      <c r="P59" s="45"/>
      <c r="Q59" s="45"/>
    </row>
    <row r="60" spans="1:17" s="34" customFormat="1" ht="26.25" customHeight="1" x14ac:dyDescent="0.25">
      <c r="A60" s="59" t="s">
        <v>117</v>
      </c>
      <c r="B60" s="52" t="s">
        <v>37</v>
      </c>
      <c r="C60" s="56" t="s">
        <v>94</v>
      </c>
      <c r="D60" s="52" t="s">
        <v>59</v>
      </c>
      <c r="E60" s="54">
        <f>2/2</f>
        <v>1</v>
      </c>
      <c r="F60" s="54">
        <f t="shared" si="2"/>
        <v>4027.29</v>
      </c>
      <c r="G60" s="45"/>
      <c r="H60" s="45"/>
      <c r="I60" s="45"/>
      <c r="J60" s="54">
        <v>4027.29</v>
      </c>
      <c r="K60" s="45"/>
      <c r="L60" s="45"/>
      <c r="M60" s="45"/>
      <c r="N60" s="54"/>
      <c r="O60" s="45"/>
      <c r="P60" s="45"/>
      <c r="Q60" s="45"/>
    </row>
    <row r="61" spans="1:17" s="34" customFormat="1" ht="26.25" customHeight="1" x14ac:dyDescent="0.25">
      <c r="A61" s="59">
        <v>38</v>
      </c>
      <c r="B61" s="52" t="s">
        <v>37</v>
      </c>
      <c r="C61" s="56" t="s">
        <v>60</v>
      </c>
      <c r="D61" s="52" t="s">
        <v>59</v>
      </c>
      <c r="E61" s="54">
        <f>ROUND(8.8*E52,0)</f>
        <v>718</v>
      </c>
      <c r="F61" s="54">
        <v>10.25</v>
      </c>
      <c r="G61" s="45"/>
      <c r="H61" s="45"/>
      <c r="I61" s="45"/>
      <c r="J61" s="54">
        <f t="shared" ref="J61:J83" si="4">ROUND(F61*E61,2)</f>
        <v>7359.5</v>
      </c>
      <c r="K61" s="45"/>
      <c r="L61" s="45"/>
      <c r="M61" s="45"/>
      <c r="N61" s="54"/>
      <c r="O61" s="45"/>
      <c r="P61" s="45"/>
      <c r="Q61" s="45"/>
    </row>
    <row r="62" spans="1:17" s="34" customFormat="1" ht="26.25" customHeight="1" x14ac:dyDescent="0.25">
      <c r="A62" s="59">
        <v>39</v>
      </c>
      <c r="B62" s="52" t="s">
        <v>37</v>
      </c>
      <c r="C62" s="56" t="s">
        <v>61</v>
      </c>
      <c r="D62" s="52" t="s">
        <v>59</v>
      </c>
      <c r="E62" s="54">
        <f>ROUND(3.3*E53,0)</f>
        <v>3</v>
      </c>
      <c r="F62" s="54">
        <v>7.98</v>
      </c>
      <c r="G62" s="45"/>
      <c r="H62" s="45"/>
      <c r="I62" s="45"/>
      <c r="J62" s="54">
        <f t="shared" si="4"/>
        <v>23.94</v>
      </c>
      <c r="K62" s="45"/>
      <c r="L62" s="45"/>
      <c r="M62" s="45"/>
      <c r="N62" s="54"/>
      <c r="O62" s="45"/>
      <c r="P62" s="45"/>
      <c r="Q62" s="45"/>
    </row>
    <row r="63" spans="1:17" s="62" customFormat="1" ht="26.25" customHeight="1" x14ac:dyDescent="0.2">
      <c r="A63" s="60">
        <v>40</v>
      </c>
      <c r="B63" s="51" t="s">
        <v>54</v>
      </c>
      <c r="C63" s="53" t="s">
        <v>95</v>
      </c>
      <c r="D63" s="51" t="s">
        <v>57</v>
      </c>
      <c r="E63" s="61">
        <f>586/2</f>
        <v>293</v>
      </c>
      <c r="F63" s="61">
        <v>2832</v>
      </c>
      <c r="G63" s="45"/>
      <c r="H63" s="45"/>
      <c r="I63" s="45"/>
      <c r="J63" s="61">
        <f t="shared" si="4"/>
        <v>829776</v>
      </c>
      <c r="K63" s="63"/>
      <c r="L63" s="63"/>
      <c r="M63" s="63"/>
      <c r="N63" s="54">
        <v>1.07</v>
      </c>
      <c r="O63" s="54">
        <f>N63*E63</f>
        <v>313.51</v>
      </c>
      <c r="P63" s="63"/>
      <c r="Q63" s="54">
        <f>P63*E63</f>
        <v>0</v>
      </c>
    </row>
    <row r="64" spans="1:17" s="34" customFormat="1" ht="26.25" customHeight="1" x14ac:dyDescent="0.25">
      <c r="A64" s="59" t="s">
        <v>118</v>
      </c>
      <c r="B64" s="52" t="s">
        <v>37</v>
      </c>
      <c r="C64" s="56" t="s">
        <v>96</v>
      </c>
      <c r="D64" s="52" t="s">
        <v>59</v>
      </c>
      <c r="E64" s="54">
        <f>12/2</f>
        <v>6</v>
      </c>
      <c r="F64" s="54">
        <f>J64/E64</f>
        <v>9582.376666666667</v>
      </c>
      <c r="G64" s="45"/>
      <c r="H64" s="45"/>
      <c r="I64" s="45"/>
      <c r="J64" s="54">
        <v>57494.26</v>
      </c>
      <c r="K64" s="45"/>
      <c r="L64" s="45"/>
      <c r="M64" s="45"/>
      <c r="N64" s="54"/>
      <c r="O64" s="45"/>
      <c r="P64" s="45"/>
      <c r="Q64" s="45"/>
    </row>
    <row r="65" spans="1:17" s="34" customFormat="1" ht="26.25" customHeight="1" x14ac:dyDescent="0.25">
      <c r="A65" s="59" t="s">
        <v>119</v>
      </c>
      <c r="B65" s="52" t="s">
        <v>37</v>
      </c>
      <c r="C65" s="56" t="s">
        <v>97</v>
      </c>
      <c r="D65" s="52" t="s">
        <v>59</v>
      </c>
      <c r="E65" s="54">
        <f>ROUND(43/2,0)</f>
        <v>22</v>
      </c>
      <c r="F65" s="54">
        <f>J65/E65</f>
        <v>6110.5000000000009</v>
      </c>
      <c r="G65" s="45"/>
      <c r="H65" s="45"/>
      <c r="I65" s="45"/>
      <c r="J65" s="54">
        <v>134431.00000000003</v>
      </c>
      <c r="K65" s="45"/>
      <c r="L65" s="45"/>
      <c r="M65" s="45"/>
      <c r="N65" s="54"/>
      <c r="O65" s="45"/>
      <c r="P65" s="45"/>
      <c r="Q65" s="45"/>
    </row>
    <row r="66" spans="1:17" s="34" customFormat="1" ht="26.25" customHeight="1" x14ac:dyDescent="0.25">
      <c r="A66" s="59" t="s">
        <v>120</v>
      </c>
      <c r="B66" s="52" t="s">
        <v>37</v>
      </c>
      <c r="C66" s="56" t="s">
        <v>98</v>
      </c>
      <c r="D66" s="52" t="s">
        <v>59</v>
      </c>
      <c r="E66" s="54">
        <f>12/2</f>
        <v>6</v>
      </c>
      <c r="F66" s="54">
        <f>J66/E66</f>
        <v>11387.753333333334</v>
      </c>
      <c r="G66" s="45"/>
      <c r="H66" s="45"/>
      <c r="I66" s="45"/>
      <c r="J66" s="54">
        <v>68326.52</v>
      </c>
      <c r="K66" s="45"/>
      <c r="L66" s="45"/>
      <c r="M66" s="45"/>
      <c r="N66" s="54"/>
      <c r="O66" s="45"/>
      <c r="P66" s="45"/>
      <c r="Q66" s="45"/>
    </row>
    <row r="67" spans="1:17" s="34" customFormat="1" ht="26.25" customHeight="1" x14ac:dyDescent="0.25">
      <c r="A67" s="59" t="s">
        <v>121</v>
      </c>
      <c r="B67" s="52" t="s">
        <v>37</v>
      </c>
      <c r="C67" s="56" t="s">
        <v>99</v>
      </c>
      <c r="D67" s="52" t="s">
        <v>59</v>
      </c>
      <c r="E67" s="54">
        <f>42/2</f>
        <v>21</v>
      </c>
      <c r="F67" s="54">
        <f>J67/E67</f>
        <v>7915.8771428571436</v>
      </c>
      <c r="G67" s="45"/>
      <c r="H67" s="45"/>
      <c r="I67" s="45"/>
      <c r="J67" s="54">
        <v>166233.42000000001</v>
      </c>
      <c r="K67" s="45"/>
      <c r="L67" s="45"/>
      <c r="M67" s="45"/>
      <c r="N67" s="54"/>
      <c r="O67" s="45"/>
      <c r="P67" s="45"/>
      <c r="Q67" s="45"/>
    </row>
    <row r="68" spans="1:17" s="34" customFormat="1" ht="26.25" customHeight="1" x14ac:dyDescent="0.25">
      <c r="A68" s="59" t="s">
        <v>122</v>
      </c>
      <c r="B68" s="52" t="s">
        <v>37</v>
      </c>
      <c r="C68" s="56" t="s">
        <v>100</v>
      </c>
      <c r="D68" s="52" t="s">
        <v>59</v>
      </c>
      <c r="E68" s="54">
        <f>12/2</f>
        <v>6</v>
      </c>
      <c r="F68" s="54">
        <f>J68/E68</f>
        <v>3888.5000000000005</v>
      </c>
      <c r="G68" s="45"/>
      <c r="H68" s="45"/>
      <c r="I68" s="45"/>
      <c r="J68" s="54">
        <v>23331.000000000004</v>
      </c>
      <c r="K68" s="45"/>
      <c r="L68" s="45"/>
      <c r="M68" s="45"/>
      <c r="N68" s="54"/>
      <c r="O68" s="45"/>
      <c r="P68" s="45"/>
      <c r="Q68" s="45"/>
    </row>
    <row r="69" spans="1:17" s="34" customFormat="1" ht="26.25" customHeight="1" x14ac:dyDescent="0.25">
      <c r="A69" s="59">
        <v>46</v>
      </c>
      <c r="B69" s="52" t="s">
        <v>37</v>
      </c>
      <c r="C69" s="56" t="s">
        <v>60</v>
      </c>
      <c r="D69" s="52" t="s">
        <v>59</v>
      </c>
      <c r="E69" s="54">
        <f>ROUND(4.4*E63,0)</f>
        <v>1289</v>
      </c>
      <c r="F69" s="54">
        <v>10.25</v>
      </c>
      <c r="G69" s="45"/>
      <c r="H69" s="45"/>
      <c r="I69" s="45"/>
      <c r="J69" s="54">
        <f t="shared" si="4"/>
        <v>13212.25</v>
      </c>
      <c r="K69" s="45"/>
      <c r="L69" s="45"/>
      <c r="M69" s="45"/>
      <c r="N69" s="54"/>
      <c r="O69" s="45"/>
      <c r="P69" s="45"/>
      <c r="Q69" s="45"/>
    </row>
    <row r="70" spans="1:17" s="34" customFormat="1" ht="26.25" customHeight="1" x14ac:dyDescent="0.25">
      <c r="A70" s="59">
        <v>47</v>
      </c>
      <c r="B70" s="52" t="s">
        <v>37</v>
      </c>
      <c r="C70" s="56" t="s">
        <v>61</v>
      </c>
      <c r="D70" s="52" t="s">
        <v>59</v>
      </c>
      <c r="E70" s="54">
        <f>ROUND(3.3*E63,0)</f>
        <v>967</v>
      </c>
      <c r="F70" s="54">
        <v>7.98</v>
      </c>
      <c r="G70" s="45"/>
      <c r="H70" s="45"/>
      <c r="I70" s="45"/>
      <c r="J70" s="54">
        <f t="shared" si="4"/>
        <v>7716.66</v>
      </c>
      <c r="K70" s="45"/>
      <c r="L70" s="45"/>
      <c r="M70" s="45"/>
      <c r="N70" s="54"/>
      <c r="O70" s="45"/>
      <c r="P70" s="45"/>
      <c r="Q70" s="45"/>
    </row>
    <row r="71" spans="1:17" s="34" customFormat="1" ht="26.25" customHeight="1" x14ac:dyDescent="0.25">
      <c r="A71" s="59">
        <v>48</v>
      </c>
      <c r="B71" s="52" t="s">
        <v>37</v>
      </c>
      <c r="C71" s="56" t="s">
        <v>101</v>
      </c>
      <c r="D71" s="52" t="s">
        <v>34</v>
      </c>
      <c r="E71" s="54">
        <f>5.4/2</f>
        <v>2.7</v>
      </c>
      <c r="F71" s="54">
        <v>567.42999999999995</v>
      </c>
      <c r="G71" s="45"/>
      <c r="H71" s="45"/>
      <c r="I71" s="45"/>
      <c r="J71" s="54">
        <f t="shared" si="4"/>
        <v>1532.06</v>
      </c>
      <c r="K71" s="45"/>
      <c r="L71" s="45"/>
      <c r="M71" s="45"/>
      <c r="N71" s="54"/>
      <c r="O71" s="45"/>
      <c r="P71" s="45"/>
      <c r="Q71" s="45"/>
    </row>
    <row r="72" spans="1:17" s="34" customFormat="1" ht="26.25" customHeight="1" x14ac:dyDescent="0.25">
      <c r="A72" s="59">
        <v>49</v>
      </c>
      <c r="B72" s="52" t="s">
        <v>37</v>
      </c>
      <c r="C72" s="56" t="s">
        <v>102</v>
      </c>
      <c r="D72" s="52" t="s">
        <v>34</v>
      </c>
      <c r="E72" s="54">
        <f>335/2</f>
        <v>167.5</v>
      </c>
      <c r="F72" s="54">
        <v>456.36</v>
      </c>
      <c r="G72" s="45"/>
      <c r="H72" s="45"/>
      <c r="I72" s="45"/>
      <c r="J72" s="54">
        <f t="shared" si="4"/>
        <v>76440.3</v>
      </c>
      <c r="K72" s="45"/>
      <c r="L72" s="45"/>
      <c r="M72" s="45"/>
      <c r="N72" s="54"/>
      <c r="O72" s="45"/>
      <c r="P72" s="45"/>
      <c r="Q72" s="45"/>
    </row>
    <row r="73" spans="1:17" s="34" customFormat="1" ht="26.25" customHeight="1" x14ac:dyDescent="0.25">
      <c r="A73" s="59">
        <v>50</v>
      </c>
      <c r="B73" s="52" t="s">
        <v>37</v>
      </c>
      <c r="C73" s="56" t="s">
        <v>71</v>
      </c>
      <c r="D73" s="52" t="s">
        <v>59</v>
      </c>
      <c r="E73" s="54">
        <f>+ROUND(1797/2,0)</f>
        <v>899</v>
      </c>
      <c r="F73" s="54">
        <v>7.98</v>
      </c>
      <c r="G73" s="45"/>
      <c r="H73" s="45"/>
      <c r="I73" s="45"/>
      <c r="J73" s="54">
        <f t="shared" si="4"/>
        <v>7174.02</v>
      </c>
      <c r="K73" s="45"/>
      <c r="L73" s="45"/>
      <c r="M73" s="45"/>
      <c r="N73" s="54"/>
      <c r="O73" s="45"/>
      <c r="P73" s="45"/>
      <c r="Q73" s="45"/>
    </row>
    <row r="74" spans="1:17" s="62" customFormat="1" ht="26.25" customHeight="1" x14ac:dyDescent="0.2">
      <c r="A74" s="60">
        <v>51</v>
      </c>
      <c r="B74" s="51" t="s">
        <v>55</v>
      </c>
      <c r="C74" s="58" t="s">
        <v>103</v>
      </c>
      <c r="D74" s="51" t="s">
        <v>57</v>
      </c>
      <c r="E74" s="61">
        <f>33.9/2</f>
        <v>16.95</v>
      </c>
      <c r="F74" s="61">
        <v>2274</v>
      </c>
      <c r="G74" s="45"/>
      <c r="H74" s="45"/>
      <c r="I74" s="45"/>
      <c r="J74" s="61">
        <f t="shared" si="4"/>
        <v>38544.300000000003</v>
      </c>
      <c r="K74" s="63"/>
      <c r="L74" s="63"/>
      <c r="M74" s="63"/>
      <c r="N74" s="54">
        <v>0.91</v>
      </c>
      <c r="O74" s="54">
        <f>N74*E74</f>
        <v>15.4245</v>
      </c>
      <c r="P74" s="63"/>
      <c r="Q74" s="54">
        <f>P74*E74</f>
        <v>0</v>
      </c>
    </row>
    <row r="75" spans="1:17" s="34" customFormat="1" ht="26.25" customHeight="1" x14ac:dyDescent="0.25">
      <c r="A75" s="59">
        <v>52</v>
      </c>
      <c r="B75" s="52" t="s">
        <v>37</v>
      </c>
      <c r="C75" s="56" t="s">
        <v>104</v>
      </c>
      <c r="D75" s="52" t="s">
        <v>34</v>
      </c>
      <c r="E75" s="54">
        <f>5.4/2</f>
        <v>2.7</v>
      </c>
      <c r="F75" s="64">
        <v>921.33</v>
      </c>
      <c r="G75" s="45"/>
      <c r="H75" s="45"/>
      <c r="I75" s="45"/>
      <c r="J75" s="54">
        <f t="shared" si="4"/>
        <v>2487.59</v>
      </c>
      <c r="K75" s="45"/>
      <c r="L75" s="45"/>
      <c r="M75" s="45"/>
      <c r="N75" s="45"/>
      <c r="O75" s="45"/>
      <c r="P75" s="45"/>
      <c r="Q75" s="45"/>
    </row>
    <row r="76" spans="1:17" s="34" customFormat="1" ht="26.25" customHeight="1" x14ac:dyDescent="0.25">
      <c r="A76" s="59">
        <v>53</v>
      </c>
      <c r="B76" s="52" t="s">
        <v>37</v>
      </c>
      <c r="C76" s="56" t="s">
        <v>105</v>
      </c>
      <c r="D76" s="52" t="s">
        <v>34</v>
      </c>
      <c r="E76" s="54">
        <f>10.8/2</f>
        <v>5.4</v>
      </c>
      <c r="F76" s="64">
        <v>1</v>
      </c>
      <c r="G76" s="45"/>
      <c r="H76" s="45"/>
      <c r="I76" s="45"/>
      <c r="J76" s="54">
        <f t="shared" si="4"/>
        <v>5.4</v>
      </c>
      <c r="K76" s="45"/>
      <c r="L76" s="45"/>
      <c r="M76" s="45"/>
      <c r="N76" s="45"/>
      <c r="O76" s="45"/>
      <c r="P76" s="45"/>
      <c r="Q76" s="45"/>
    </row>
    <row r="77" spans="1:17" s="34" customFormat="1" ht="26.25" customHeight="1" x14ac:dyDescent="0.25">
      <c r="A77" s="59">
        <v>54</v>
      </c>
      <c r="B77" s="52" t="s">
        <v>37</v>
      </c>
      <c r="C77" s="56" t="s">
        <v>106</v>
      </c>
      <c r="D77" s="52" t="s">
        <v>34</v>
      </c>
      <c r="E77" s="54">
        <f>10.8/2</f>
        <v>5.4</v>
      </c>
      <c r="F77" s="64">
        <v>1</v>
      </c>
      <c r="G77" s="45"/>
      <c r="H77" s="45"/>
      <c r="I77" s="45"/>
      <c r="J77" s="54">
        <f t="shared" si="4"/>
        <v>5.4</v>
      </c>
      <c r="K77" s="45"/>
      <c r="L77" s="45"/>
      <c r="M77" s="45"/>
      <c r="N77" s="45"/>
      <c r="O77" s="45"/>
      <c r="P77" s="45"/>
      <c r="Q77" s="45"/>
    </row>
    <row r="78" spans="1:17" s="34" customFormat="1" ht="26.25" customHeight="1" x14ac:dyDescent="0.25">
      <c r="A78" s="59">
        <v>55</v>
      </c>
      <c r="B78" s="52" t="s">
        <v>37</v>
      </c>
      <c r="C78" s="56" t="s">
        <v>107</v>
      </c>
      <c r="D78" s="52" t="s">
        <v>34</v>
      </c>
      <c r="E78" s="54">
        <f>29.6/2</f>
        <v>14.8</v>
      </c>
      <c r="F78" s="64">
        <v>1</v>
      </c>
      <c r="G78" s="45"/>
      <c r="H78" s="45"/>
      <c r="I78" s="45"/>
      <c r="J78" s="54">
        <f t="shared" si="4"/>
        <v>14.8</v>
      </c>
      <c r="K78" s="45"/>
      <c r="L78" s="45"/>
      <c r="M78" s="45"/>
      <c r="N78" s="45"/>
      <c r="O78" s="45"/>
      <c r="P78" s="45"/>
      <c r="Q78" s="45"/>
    </row>
    <row r="79" spans="1:17" s="34" customFormat="1" ht="26.25" customHeight="1" x14ac:dyDescent="0.25">
      <c r="A79" s="59">
        <v>56</v>
      </c>
      <c r="B79" s="52" t="s">
        <v>37</v>
      </c>
      <c r="C79" s="56" t="s">
        <v>108</v>
      </c>
      <c r="D79" s="52" t="s">
        <v>34</v>
      </c>
      <c r="E79" s="54">
        <f>29.6/2</f>
        <v>14.8</v>
      </c>
      <c r="F79" s="64">
        <v>1</v>
      </c>
      <c r="G79" s="45"/>
      <c r="H79" s="45"/>
      <c r="I79" s="45"/>
      <c r="J79" s="54">
        <f t="shared" si="4"/>
        <v>14.8</v>
      </c>
      <c r="K79" s="45"/>
      <c r="L79" s="45"/>
      <c r="M79" s="45"/>
      <c r="N79" s="45"/>
      <c r="O79" s="45"/>
      <c r="P79" s="45"/>
      <c r="Q79" s="45"/>
    </row>
    <row r="80" spans="1:17" s="34" customFormat="1" ht="26.25" customHeight="1" x14ac:dyDescent="0.25">
      <c r="A80" s="59">
        <v>57</v>
      </c>
      <c r="B80" s="52" t="s">
        <v>37</v>
      </c>
      <c r="C80" s="56" t="s">
        <v>70</v>
      </c>
      <c r="D80" s="52" t="s">
        <v>59</v>
      </c>
      <c r="E80" s="54">
        <f>+ROUND(76/2,0)</f>
        <v>38</v>
      </c>
      <c r="F80" s="54">
        <v>10.25</v>
      </c>
      <c r="G80" s="45"/>
      <c r="H80" s="45"/>
      <c r="I80" s="45"/>
      <c r="J80" s="54">
        <f t="shared" si="4"/>
        <v>389.5</v>
      </c>
      <c r="K80" s="45"/>
      <c r="L80" s="45"/>
      <c r="M80" s="45"/>
      <c r="N80" s="45"/>
      <c r="O80" s="45"/>
      <c r="P80" s="45"/>
      <c r="Q80" s="45"/>
    </row>
    <row r="81" spans="1:17" s="34" customFormat="1" ht="26.25" customHeight="1" x14ac:dyDescent="0.25">
      <c r="A81" s="59">
        <v>58</v>
      </c>
      <c r="B81" s="52" t="s">
        <v>37</v>
      </c>
      <c r="C81" s="56" t="s">
        <v>71</v>
      </c>
      <c r="D81" s="52" t="s">
        <v>59</v>
      </c>
      <c r="E81" s="54">
        <f>+ROUND(416/2,0)</f>
        <v>208</v>
      </c>
      <c r="F81" s="54">
        <v>7.98</v>
      </c>
      <c r="G81" s="45"/>
      <c r="H81" s="45"/>
      <c r="I81" s="45"/>
      <c r="J81" s="54">
        <f t="shared" si="4"/>
        <v>1659.84</v>
      </c>
      <c r="K81" s="45"/>
      <c r="L81" s="45"/>
      <c r="M81" s="45"/>
      <c r="N81" s="45"/>
      <c r="O81" s="45"/>
      <c r="P81" s="45"/>
      <c r="Q81" s="45"/>
    </row>
    <row r="82" spans="1:17" s="34" customFormat="1" ht="26.25" customHeight="1" x14ac:dyDescent="0.25">
      <c r="A82" s="59">
        <v>59</v>
      </c>
      <c r="B82" s="52" t="s">
        <v>37</v>
      </c>
      <c r="C82" s="56" t="s">
        <v>81</v>
      </c>
      <c r="D82" s="52" t="s">
        <v>34</v>
      </c>
      <c r="E82" s="54">
        <v>5</v>
      </c>
      <c r="F82" s="64">
        <v>87.3</v>
      </c>
      <c r="G82" s="45"/>
      <c r="H82" s="45"/>
      <c r="I82" s="45"/>
      <c r="J82" s="54">
        <f t="shared" si="4"/>
        <v>436.5</v>
      </c>
      <c r="K82" s="45"/>
      <c r="L82" s="45"/>
      <c r="M82" s="45"/>
      <c r="N82" s="45"/>
      <c r="O82" s="45"/>
      <c r="P82" s="45"/>
      <c r="Q82" s="45"/>
    </row>
    <row r="83" spans="1:17" s="34" customFormat="1" ht="26.25" customHeight="1" x14ac:dyDescent="0.25">
      <c r="A83" s="59">
        <v>60</v>
      </c>
      <c r="B83" s="52" t="s">
        <v>37</v>
      </c>
      <c r="C83" s="56" t="s">
        <v>82</v>
      </c>
      <c r="D83" s="52" t="s">
        <v>34</v>
      </c>
      <c r="E83" s="54">
        <v>5</v>
      </c>
      <c r="F83" s="64">
        <v>708.73</v>
      </c>
      <c r="G83" s="45"/>
      <c r="H83" s="45"/>
      <c r="I83" s="45"/>
      <c r="J83" s="54">
        <f t="shared" si="4"/>
        <v>3543.65</v>
      </c>
      <c r="K83" s="45"/>
      <c r="L83" s="45"/>
      <c r="M83" s="45"/>
      <c r="N83" s="45"/>
      <c r="O83" s="45"/>
      <c r="P83" s="45"/>
      <c r="Q83" s="45"/>
    </row>
    <row r="84" spans="1:17" s="34" customFormat="1" ht="15" x14ac:dyDescent="0.25">
      <c r="A84" s="74" t="s">
        <v>38</v>
      </c>
      <c r="B84" s="74"/>
      <c r="C84" s="74"/>
      <c r="D84" s="74"/>
      <c r="E84" s="74"/>
      <c r="F84" s="74"/>
      <c r="G84" s="74"/>
      <c r="H84" s="74"/>
      <c r="I84" s="74"/>
      <c r="J84" s="25">
        <f>SUM(J24:J83)</f>
        <v>3064017.0299999989</v>
      </c>
      <c r="K84" s="20"/>
      <c r="L84" s="20"/>
      <c r="M84" s="20"/>
      <c r="N84" s="21"/>
      <c r="O84" s="27">
        <f>SUBTOTAL(9,O24:O74)</f>
        <v>618.98249999999996</v>
      </c>
      <c r="P84" s="21"/>
      <c r="Q84" s="28">
        <f>SUBTOTAL(9,Q24:Q74)</f>
        <v>0</v>
      </c>
    </row>
    <row r="85" spans="1:17" s="34" customFormat="1" ht="18.75" customHeight="1" x14ac:dyDescent="0.25">
      <c r="A85" s="74" t="s">
        <v>25</v>
      </c>
      <c r="B85" s="74"/>
      <c r="C85" s="74"/>
      <c r="D85" s="74"/>
      <c r="E85" s="74"/>
      <c r="F85" s="74"/>
      <c r="G85" s="74"/>
      <c r="H85" s="74"/>
      <c r="I85" s="74"/>
      <c r="J85" s="26"/>
      <c r="K85" s="20"/>
      <c r="L85" s="20"/>
      <c r="M85" s="20"/>
      <c r="N85" s="21"/>
      <c r="O85" s="21"/>
      <c r="P85" s="21"/>
      <c r="Q85" s="21"/>
    </row>
    <row r="86" spans="1:17" s="34" customFormat="1" ht="15" x14ac:dyDescent="0.25">
      <c r="A86" s="82" t="s">
        <v>26</v>
      </c>
      <c r="B86" s="82"/>
      <c r="C86" s="82"/>
      <c r="D86" s="82"/>
      <c r="E86" s="82"/>
      <c r="F86" s="82"/>
      <c r="G86" s="82"/>
      <c r="H86" s="82"/>
      <c r="I86" s="82"/>
      <c r="J86" s="18">
        <f>J84</f>
        <v>3064017.0299999989</v>
      </c>
      <c r="K86" s="19"/>
      <c r="L86" s="19"/>
      <c r="M86" s="19"/>
      <c r="N86" s="23"/>
      <c r="O86" s="24">
        <f>O84</f>
        <v>618.98249999999996</v>
      </c>
      <c r="P86" s="23"/>
      <c r="Q86" s="29">
        <f>Q84</f>
        <v>0</v>
      </c>
    </row>
    <row r="87" spans="1:17" s="34" customFormat="1" ht="14.25" customHeight="1" x14ac:dyDescent="0.25">
      <c r="A87" s="82" t="s">
        <v>27</v>
      </c>
      <c r="B87" s="82"/>
      <c r="C87" s="82"/>
      <c r="D87" s="82"/>
      <c r="E87" s="82"/>
      <c r="F87" s="82"/>
      <c r="G87" s="82"/>
      <c r="H87" s="82"/>
      <c r="I87" s="82"/>
      <c r="J87" s="18"/>
      <c r="K87" s="19"/>
      <c r="L87" s="19"/>
      <c r="M87" s="19"/>
      <c r="N87" s="23"/>
      <c r="O87" s="23"/>
      <c r="P87" s="23"/>
      <c r="Q87" s="23"/>
    </row>
    <row r="88" spans="1:17" s="34" customFormat="1" ht="14.25" customHeight="1" x14ac:dyDescent="0.25">
      <c r="A88" s="82" t="s">
        <v>40</v>
      </c>
      <c r="B88" s="82"/>
      <c r="C88" s="82"/>
      <c r="D88" s="82"/>
      <c r="E88" s="82"/>
      <c r="F88" s="82"/>
      <c r="G88" s="82"/>
      <c r="H88" s="82"/>
      <c r="I88" s="82"/>
      <c r="J88" s="18">
        <f>J74+J63+J52+J49+J24</f>
        <v>1618252.09</v>
      </c>
      <c r="K88" s="18"/>
      <c r="L88" s="19"/>
      <c r="M88" s="19"/>
      <c r="N88" s="23"/>
      <c r="O88" s="23"/>
      <c r="P88" s="23"/>
      <c r="Q88" s="23"/>
    </row>
    <row r="89" spans="1:17" s="34" customFormat="1" ht="15" customHeight="1" x14ac:dyDescent="0.25">
      <c r="A89" s="82" t="s">
        <v>28</v>
      </c>
      <c r="B89" s="82"/>
      <c r="C89" s="82"/>
      <c r="D89" s="82"/>
      <c r="E89" s="82"/>
      <c r="F89" s="82"/>
      <c r="G89" s="82"/>
      <c r="H89" s="82"/>
      <c r="I89" s="82"/>
      <c r="J89" s="18">
        <f>J83+J82+J81+J80++J78++J79+J77+J76+J75+J73+J72+J71+J70+J69+J68+J67+J66+J65+J64+J62+J61+J60+J59+J58+J57+J56+J55+J54+J53+J51+J50+J48+J47+J46+J45+J44+J43+J42+J41+J40+J39+J38+J37+J36+J35+J34+J33+J32+J31+J30+J29+J28+J27+J26+J25</f>
        <v>1445764.94</v>
      </c>
      <c r="K89" s="18"/>
      <c r="L89" s="19"/>
      <c r="M89" s="19"/>
      <c r="N89" s="23"/>
      <c r="O89" s="23"/>
      <c r="P89" s="23"/>
      <c r="Q89" s="23"/>
    </row>
    <row r="90" spans="1:17" s="34" customFormat="1" ht="15" customHeight="1" x14ac:dyDescent="0.25">
      <c r="A90" s="83" t="s">
        <v>42</v>
      </c>
      <c r="B90" s="83"/>
      <c r="C90" s="83"/>
      <c r="D90" s="83"/>
      <c r="E90" s="83"/>
      <c r="F90" s="83"/>
      <c r="G90" s="83"/>
      <c r="H90" s="83"/>
      <c r="I90" s="83"/>
      <c r="J90" s="18"/>
      <c r="K90" s="18"/>
      <c r="L90" s="19"/>
      <c r="M90" s="19"/>
      <c r="N90" s="23"/>
      <c r="O90" s="23"/>
      <c r="P90" s="23"/>
      <c r="Q90" s="23"/>
    </row>
    <row r="91" spans="1:17" s="34" customFormat="1" ht="15" customHeight="1" x14ac:dyDescent="0.25">
      <c r="A91" s="74" t="s">
        <v>26</v>
      </c>
      <c r="B91" s="74"/>
      <c r="C91" s="74"/>
      <c r="D91" s="74"/>
      <c r="E91" s="74"/>
      <c r="F91" s="74"/>
      <c r="G91" s="74"/>
      <c r="H91" s="74"/>
      <c r="I91" s="74"/>
      <c r="J91" s="26">
        <f>SUM(J88:J90)</f>
        <v>3064017.0300000003</v>
      </c>
      <c r="K91" s="18"/>
      <c r="L91" s="20"/>
      <c r="M91" s="20"/>
      <c r="N91" s="21"/>
      <c r="O91" s="21"/>
      <c r="P91" s="21"/>
      <c r="Q91" s="21"/>
    </row>
    <row r="92" spans="1:17" s="34" customFormat="1" ht="15" customHeight="1" x14ac:dyDescent="0.25">
      <c r="A92" s="82" t="s">
        <v>29</v>
      </c>
      <c r="B92" s="82"/>
      <c r="C92" s="82"/>
      <c r="D92" s="82"/>
      <c r="E92" s="82"/>
      <c r="F92" s="82"/>
      <c r="G92" s="82"/>
      <c r="H92" s="82"/>
      <c r="I92" s="82"/>
      <c r="J92" s="18">
        <f>-(J83+J82+J81+J80+J79+J78+J77+J76+J75+J73+J72+J71++J70+J69+J68+J67+J66+J65+J64+J62+J61+J60+J59+J58+J57+J56+J55+J54+J53+J51+J50+J48+J47+J46+J45+J44+J43+J42+J41+J40+J39+J38+J37+J36+J35+J34+J33+J32+J31+J29+J30+J28+J27+J26+J25)</f>
        <v>-1445764.94</v>
      </c>
      <c r="K92" s="18"/>
      <c r="L92" s="19"/>
      <c r="M92" s="19"/>
      <c r="N92" s="23"/>
      <c r="O92" s="23"/>
      <c r="P92" s="23"/>
      <c r="Q92" s="23"/>
    </row>
    <row r="93" spans="1:17" s="34" customFormat="1" ht="15" customHeight="1" x14ac:dyDescent="0.25">
      <c r="A93" s="82" t="s">
        <v>41</v>
      </c>
      <c r="B93" s="82"/>
      <c r="C93" s="82"/>
      <c r="D93" s="82"/>
      <c r="E93" s="82"/>
      <c r="F93" s="82"/>
      <c r="G93" s="82"/>
      <c r="H93" s="82"/>
      <c r="I93" s="82"/>
      <c r="J93" s="18"/>
      <c r="K93" s="18"/>
      <c r="L93" s="19"/>
      <c r="M93" s="19"/>
      <c r="N93" s="23"/>
      <c r="O93" s="23"/>
      <c r="P93" s="23"/>
      <c r="Q93" s="23"/>
    </row>
    <row r="94" spans="1:17" s="34" customFormat="1" ht="15" customHeight="1" x14ac:dyDescent="0.25">
      <c r="A94" s="74" t="s">
        <v>30</v>
      </c>
      <c r="B94" s="74"/>
      <c r="C94" s="74"/>
      <c r="D94" s="74"/>
      <c r="E94" s="74"/>
      <c r="F94" s="74"/>
      <c r="G94" s="74"/>
      <c r="H94" s="74"/>
      <c r="I94" s="74"/>
      <c r="J94" s="26">
        <f>J84+J92+J93</f>
        <v>1618252.0899999989</v>
      </c>
      <c r="K94" s="18"/>
      <c r="L94" s="20"/>
      <c r="M94" s="20"/>
      <c r="N94" s="21"/>
      <c r="O94" s="21"/>
      <c r="P94" s="21"/>
      <c r="Q94" s="21"/>
    </row>
    <row r="95" spans="1:17" s="34" customFormat="1" ht="15" customHeight="1" x14ac:dyDescent="0.25">
      <c r="A95" s="83" t="s">
        <v>123</v>
      </c>
      <c r="B95" s="83"/>
      <c r="C95" s="83"/>
      <c r="D95" s="83"/>
      <c r="E95" s="83"/>
      <c r="F95" s="83"/>
      <c r="G95" s="83"/>
      <c r="H95" s="83"/>
      <c r="I95" s="83"/>
      <c r="J95" s="18">
        <f>J94*0.22</f>
        <v>356015.45979999978</v>
      </c>
      <c r="K95" s="19"/>
      <c r="L95" s="19"/>
      <c r="M95" s="19"/>
      <c r="N95" s="23"/>
      <c r="O95" s="23"/>
      <c r="P95" s="23"/>
      <c r="Q95" s="23"/>
    </row>
    <row r="96" spans="1:17" s="34" customFormat="1" ht="15" x14ac:dyDescent="0.25">
      <c r="A96" s="74" t="s">
        <v>31</v>
      </c>
      <c r="B96" s="74"/>
      <c r="C96" s="74"/>
      <c r="D96" s="74"/>
      <c r="E96" s="74"/>
      <c r="F96" s="74"/>
      <c r="G96" s="74"/>
      <c r="H96" s="74"/>
      <c r="I96" s="74"/>
      <c r="J96" s="26">
        <f>J95+J94</f>
        <v>1974267.5497999988</v>
      </c>
      <c r="K96" s="20"/>
      <c r="L96" s="20"/>
      <c r="M96" s="20"/>
      <c r="N96" s="23"/>
      <c r="O96" s="22">
        <f>O84</f>
        <v>618.98249999999996</v>
      </c>
      <c r="P96" s="23"/>
      <c r="Q96" s="30">
        <f>Q84</f>
        <v>0</v>
      </c>
    </row>
    <row r="97" spans="1:82" s="5" customFormat="1" ht="13.5" customHeight="1" x14ac:dyDescent="0.2">
      <c r="A97" s="4"/>
      <c r="B97" s="4"/>
      <c r="C97" s="4"/>
      <c r="D97" s="4"/>
      <c r="E97" s="4"/>
      <c r="F97" s="6"/>
      <c r="G97" s="7"/>
      <c r="H97" s="7"/>
      <c r="I97" s="7"/>
      <c r="J97" s="43"/>
      <c r="K97" s="4"/>
      <c r="L97" s="4"/>
      <c r="M97" s="4"/>
      <c r="N97" s="4"/>
      <c r="O97" s="4"/>
      <c r="P97" s="4"/>
      <c r="Q97" s="4"/>
    </row>
    <row r="98" spans="1:82" customFormat="1" ht="15.75" x14ac:dyDescent="0.25">
      <c r="A98" s="46" t="s">
        <v>36</v>
      </c>
      <c r="B98" s="8"/>
      <c r="C98" s="8"/>
      <c r="D98" s="8"/>
      <c r="E98" s="8"/>
      <c r="F98" s="8"/>
      <c r="G98" s="8"/>
      <c r="H98" s="9"/>
      <c r="I98" s="81"/>
      <c r="J98" s="81"/>
      <c r="K98" s="81"/>
      <c r="L98" s="47" t="s">
        <v>32</v>
      </c>
      <c r="M98" s="8"/>
      <c r="N98" s="8"/>
      <c r="O98" s="8"/>
      <c r="P98" s="8"/>
      <c r="Q98" s="8"/>
      <c r="R98" s="8"/>
      <c r="S98" s="8"/>
    </row>
    <row r="99" spans="1:82" customFormat="1" ht="15.75" x14ac:dyDescent="0.25">
      <c r="A99" s="46"/>
      <c r="B99" s="8"/>
      <c r="C99" s="8"/>
      <c r="D99" s="8"/>
      <c r="E99" s="8"/>
      <c r="F99" s="8"/>
      <c r="G99" s="8"/>
      <c r="H99" s="8"/>
      <c r="I99" s="8"/>
      <c r="J99" s="8"/>
      <c r="K99" s="8"/>
      <c r="L99" s="48"/>
      <c r="M99" s="8"/>
      <c r="N99" s="8"/>
      <c r="O99" s="8"/>
      <c r="P99" s="8"/>
      <c r="Q99" s="8"/>
      <c r="R99" s="8"/>
      <c r="S99" s="8"/>
    </row>
    <row r="100" spans="1:82" s="49" customFormat="1" ht="19.5" customHeight="1" x14ac:dyDescent="0.2">
      <c r="A100" s="46" t="s">
        <v>47</v>
      </c>
      <c r="L100" s="46" t="s">
        <v>48</v>
      </c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</row>
    <row r="101" spans="1:82" ht="11.25" customHeight="1" x14ac:dyDescent="0.2">
      <c r="J101" s="44"/>
    </row>
  </sheetData>
  <autoFilter ref="A22:Q96"/>
  <mergeCells count="38">
    <mergeCell ref="I98:K98"/>
    <mergeCell ref="A93:I93"/>
    <mergeCell ref="A91:I91"/>
    <mergeCell ref="A90:I90"/>
    <mergeCell ref="A85:I85"/>
    <mergeCell ref="A86:I86"/>
    <mergeCell ref="A96:I96"/>
    <mergeCell ref="A87:I87"/>
    <mergeCell ref="A89:I89"/>
    <mergeCell ref="A92:I92"/>
    <mergeCell ref="A94:I94"/>
    <mergeCell ref="A95:I95"/>
    <mergeCell ref="A88:I88"/>
    <mergeCell ref="B19:B21"/>
    <mergeCell ref="C19:C21"/>
    <mergeCell ref="D19:D21"/>
    <mergeCell ref="E19:E21"/>
    <mergeCell ref="P19:P21"/>
    <mergeCell ref="F20:F21"/>
    <mergeCell ref="G20:I20"/>
    <mergeCell ref="J20:J21"/>
    <mergeCell ref="K20:M20"/>
    <mergeCell ref="A6:Q6"/>
    <mergeCell ref="A5:Q5"/>
    <mergeCell ref="Q19:Q21"/>
    <mergeCell ref="A23:Q23"/>
    <mergeCell ref="A84:I84"/>
    <mergeCell ref="F19:I19"/>
    <mergeCell ref="J19:M19"/>
    <mergeCell ref="N19:N21"/>
    <mergeCell ref="O19:O21"/>
    <mergeCell ref="A7:Q7"/>
    <mergeCell ref="C13:E13"/>
    <mergeCell ref="A11:Q11"/>
    <mergeCell ref="A8:Q8"/>
    <mergeCell ref="A9:Q9"/>
    <mergeCell ref="A12:Q12"/>
    <mergeCell ref="A19:A21"/>
  </mergeCells>
  <printOptions horizontalCentered="1"/>
  <pageMargins left="0.78740157480314965" right="0.39370078740157483" top="0.39370078740157483" bottom="0.39370078740157483" header="0" footer="0"/>
  <pageSetup paperSize="9" scale="58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УЕР_С2.9.3.2</vt:lpstr>
      <vt:lpstr>УЕР_С2.9.3.2!Заголовки_для_печати</vt:lpstr>
      <vt:lpstr>УЕР_С2.9.3.2!Область_печати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Проскурина Елена Дмитриевна</dc:creator>
  <cp:lastModifiedBy>Слобцова Светлана Игоревна</cp:lastModifiedBy>
  <cp:lastPrinted>2025-11-18T08:18:39Z</cp:lastPrinted>
  <dcterms:created xsi:type="dcterms:W3CDTF">2020-09-30T08:50:27Z</dcterms:created>
  <dcterms:modified xsi:type="dcterms:W3CDTF">2026-05-07T09:54:29Z</dcterms:modified>
</cp:coreProperties>
</file>