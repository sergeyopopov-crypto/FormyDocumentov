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02. Тамань\16. Минеральные удобрения ГК-15, ГК-18 АБ\"/>
    </mc:Choice>
  </mc:AlternateContent>
  <xr:revisionPtr revIDLastSave="0" documentId="13_ncr:1_{975B9B61-9D04-4DAB-B43C-EA83E9729EF1}" xr6:coauthVersionLast="47" xr6:coauthVersionMax="47" xr10:uidLastSave="{00000000-0000-0000-0000-000000000000}"/>
  <bookViews>
    <workbookView xWindow="4155" yWindow="4155" windowWidth="20565" windowHeight="16245" xr2:uid="{00000000-000D-0000-FFFF-FFFF00000000}"/>
  </bookViews>
  <sheets>
    <sheet name="Промышленный альпинизм" sheetId="1" r:id="rId1"/>
  </sheets>
  <definedNames>
    <definedName name="_xlnm.Print_Area" localSheetId="0">'Промышленный альпинизм'!$A$1:$J$46</definedName>
  </definedNames>
  <calcPr calcId="191029"/>
</workbook>
</file>

<file path=xl/calcChain.xml><?xml version="1.0" encoding="utf-8"?>
<calcChain xmlns="http://schemas.openxmlformats.org/spreadsheetml/2006/main">
  <c r="J31" i="1" l="1"/>
  <c r="F31" i="1"/>
  <c r="J34" i="1"/>
  <c r="J32" i="1"/>
  <c r="C38" i="1"/>
  <c r="C39" i="1" l="1"/>
  <c r="J33" i="1"/>
  <c r="J27" i="1"/>
  <c r="F27" i="1"/>
  <c r="J26" i="1"/>
  <c r="F26" i="1"/>
  <c r="J25" i="1"/>
  <c r="F25" i="1"/>
  <c r="J24" i="1"/>
  <c r="F24" i="1"/>
  <c r="J23" i="1"/>
  <c r="F23" i="1"/>
  <c r="J22" i="1"/>
  <c r="F22" i="1"/>
  <c r="J21" i="1"/>
  <c r="F21" i="1"/>
  <c r="J20" i="1"/>
  <c r="F20" i="1"/>
  <c r="J19" i="1"/>
  <c r="F19" i="1"/>
  <c r="J18" i="1"/>
  <c r="F18" i="1"/>
  <c r="J17" i="1"/>
  <c r="D17" i="1"/>
  <c r="F17" i="1" s="1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J7" i="1"/>
  <c r="F7" i="1"/>
  <c r="F15" i="1" s="1"/>
  <c r="J6" i="1"/>
  <c r="J15" i="1" s="1"/>
  <c r="F6" i="1"/>
  <c r="B1" i="1"/>
  <c r="F28" i="1" l="1"/>
  <c r="F29" i="1" s="1"/>
  <c r="J28" i="1"/>
  <c r="J29" i="1" s="1"/>
  <c r="J30" i="1" l="1"/>
  <c r="B2" i="1" s="1"/>
  <c r="K2" i="1" s="1"/>
  <c r="J35" i="1" l="1"/>
  <c r="J37" i="1" l="1"/>
  <c r="J38" i="1" s="1"/>
  <c r="J40" i="1" s="1"/>
</calcChain>
</file>

<file path=xl/sharedStrings.xml><?xml version="1.0" encoding="utf-8"?>
<sst xmlns="http://schemas.openxmlformats.org/spreadsheetml/2006/main" count="112" uniqueCount="76">
  <si>
    <t>чел-часов</t>
  </si>
  <si>
    <t>ставка в час</t>
  </si>
  <si>
    <t>ГК-18</t>
  </si>
  <si>
    <t>№</t>
  </si>
  <si>
    <t>Наименование затрат</t>
  </si>
  <si>
    <t>Ед. изм.</t>
  </si>
  <si>
    <t>Кол-во</t>
  </si>
  <si>
    <t>Цена за ед. (руб.)</t>
  </si>
  <si>
    <t>Общая стоимость (руб.)</t>
  </si>
  <si>
    <t>п/п</t>
  </si>
  <si>
    <t>Стоимость основных материалов</t>
  </si>
  <si>
    <t>1.1</t>
  </si>
  <si>
    <t>Профлист Н75-750-0,8 (кровля)</t>
  </si>
  <si>
    <t>м²</t>
  </si>
  <si>
    <t>1.2</t>
  </si>
  <si>
    <t>Профлист НС44-1000-0,8 (стены)</t>
  </si>
  <si>
    <t>1.3</t>
  </si>
  <si>
    <t>Сэндвич-панели стеновые (EI 45)</t>
  </si>
  <si>
    <t>1.4</t>
  </si>
  <si>
    <t>Сэндвич-панели кровельные (REI 45)</t>
  </si>
  <si>
    <t>1.5</t>
  </si>
  <si>
    <t>Поликарбонат монолитный (вставки)</t>
  </si>
  <si>
    <t>1.6</t>
  </si>
  <si>
    <t>Ограждения кровли (ELITE H-680)</t>
  </si>
  <si>
    <t>м</t>
  </si>
  <si>
    <t>1.7</t>
  </si>
  <si>
    <t>Снегозадержатели (Престиж ZN)</t>
  </si>
  <si>
    <t>шт.</t>
  </si>
  <si>
    <t>1.8</t>
  </si>
  <si>
    <t>Водосточная система (комплект)</t>
  </si>
  <si>
    <t>компл.</t>
  </si>
  <si>
    <t>1.9</t>
  </si>
  <si>
    <t>Крепёж, уплотнители, фасонные элементы</t>
  </si>
  <si>
    <t>Итого материалы</t>
  </si>
  <si>
    <t>Стоимость работ (с механизмами)</t>
  </si>
  <si>
    <t>2.1</t>
  </si>
  <si>
    <t>Монтаж профлиста на стены и кровлю</t>
  </si>
  <si>
    <t>2.2</t>
  </si>
  <si>
    <t>Монтаж стен сэндвич-панелями</t>
  </si>
  <si>
    <t>2.3</t>
  </si>
  <si>
    <t>Монтаж кровли сэндвич-панелями</t>
  </si>
  <si>
    <t>2.4</t>
  </si>
  <si>
    <t>Монтаж монолитного поликарбоната</t>
  </si>
  <si>
    <t>2.5</t>
  </si>
  <si>
    <t>Монтаж снегозадержателей</t>
  </si>
  <si>
    <t>м.п.</t>
  </si>
  <si>
    <t>2.6</t>
  </si>
  <si>
    <t xml:space="preserve">Монтаж ограждений </t>
  </si>
  <si>
    <t>2.7</t>
  </si>
  <si>
    <t>Монтаж водосточного желоба</t>
  </si>
  <si>
    <t>2.8</t>
  </si>
  <si>
    <t>Монтаж водосточных труб</t>
  </si>
  <si>
    <t>2.9</t>
  </si>
  <si>
    <t>Монтаж фасонных элементов</t>
  </si>
  <si>
    <t>2.10</t>
  </si>
  <si>
    <t>2.11</t>
  </si>
  <si>
    <t>Итого СМР</t>
  </si>
  <si>
    <t>Коэф. по высоте</t>
  </si>
  <si>
    <t>Итого СМР с коэф.по высоте</t>
  </si>
  <si>
    <t>Итого Главе 2</t>
  </si>
  <si>
    <t>3.1</t>
  </si>
  <si>
    <t>Проживание (8*30*700)</t>
  </si>
  <si>
    <t>3.2</t>
  </si>
  <si>
    <t>Транспортные расходы</t>
  </si>
  <si>
    <t>Итого Главе 3</t>
  </si>
  <si>
    <t>ВСЕГО (без НДС)</t>
  </si>
  <si>
    <r>
      <t xml:space="preserve">Срок выполнения работ </t>
    </r>
    <r>
      <rPr>
        <b/>
        <i/>
        <sz val="9"/>
        <color indexed="2"/>
        <rFont val="ГОСТ тип А"/>
      </rPr>
      <t>(календарных дней</t>
    </r>
    <r>
      <rPr>
        <b/>
        <i/>
        <sz val="8"/>
        <color indexed="2"/>
        <rFont val="ГОСТ тип А"/>
      </rPr>
      <t>)</t>
    </r>
  </si>
  <si>
    <t>Накладные расходы (ЦО)</t>
  </si>
  <si>
    <t>Проживание</t>
  </si>
  <si>
    <t>Прибыль</t>
  </si>
  <si>
    <r>
      <t xml:space="preserve">Транспортные расходы </t>
    </r>
    <r>
      <rPr>
        <sz val="8"/>
        <color theme="1"/>
        <rFont val="ГОСТ тип А"/>
      </rPr>
      <t>(туда и обратно (1200км*35р/км)</t>
    </r>
  </si>
  <si>
    <t>Ставка отдела закупок (без НДС 22%)</t>
  </si>
  <si>
    <t>Накладные расходы (15%)</t>
  </si>
  <si>
    <t>Итого</t>
  </si>
  <si>
    <t>Ставки за выполнение работ даны бригадами промальп по состоянию на 01.04.2026</t>
  </si>
  <si>
    <t>КГ-15 (А-Б)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</si>
</sst>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&quot;₽&quot;_-;\-* #,##0.00\ &quot;₽&quot;_-;_-* &quot;-&quot;??\ &quot;₽&quot;_-;_-@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ГОСТ тип А"/>
    </font>
    <font>
      <i/>
      <sz val="11"/>
      <color theme="1"/>
      <name val="ГОСТ тип А"/>
    </font>
    <font>
      <b/>
      <sz val="11"/>
      <color theme="1"/>
      <name val="ГОСТ тип А"/>
    </font>
    <font>
      <b/>
      <sz val="8"/>
      <color rgb="FFC00000"/>
      <name val="ГОСТ тип А"/>
    </font>
    <font>
      <b/>
      <sz val="11"/>
      <color rgb="FFC00000"/>
      <name val="ГОСТ тип А"/>
    </font>
    <font>
      <b/>
      <i/>
      <sz val="11"/>
      <color indexed="2"/>
      <name val="ГОСТ тип А"/>
    </font>
    <font>
      <sz val="11"/>
      <color theme="1"/>
      <name val="Calibri"/>
      <scheme val="minor"/>
    </font>
    <font>
      <b/>
      <i/>
      <sz val="9"/>
      <color indexed="2"/>
      <name val="ГОСТ тип А"/>
    </font>
    <font>
      <b/>
      <i/>
      <sz val="8"/>
      <color indexed="2"/>
      <name val="ГОСТ тип А"/>
    </font>
    <font>
      <sz val="8"/>
      <color theme="1"/>
      <name val="ГОСТ тип А"/>
    </font>
    <font>
      <b/>
      <sz val="11"/>
      <color theme="1"/>
      <name val="ГОСТ тип А"/>
      <family val="2"/>
      <charset val="204"/>
    </font>
    <font>
      <b/>
      <sz val="12"/>
      <color rgb="FFFF0000"/>
      <name val="ГОСТ тип А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7" fillId="0" borderId="0" applyFont="0" applyFill="0" applyBorder="0" applyProtection="0"/>
    <xf numFmtId="9" fontId="7" fillId="0" borderId="0" applyFont="0" applyFill="0" applyBorder="0" applyProtection="0"/>
    <xf numFmtId="43" fontId="7" fillId="0" borderId="0" applyFont="0" applyFill="0" applyBorder="0" applyProtection="0"/>
  </cellStyleXfs>
  <cellXfs count="53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right" vertical="center"/>
    </xf>
    <xf numFmtId="43" fontId="2" fillId="0" borderId="0" xfId="3" applyFont="1"/>
    <xf numFmtId="0" fontId="2" fillId="0" borderId="0" xfId="0" applyFont="1"/>
    <xf numFmtId="44" fontId="2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3" fillId="0" borderId="0" xfId="0" applyFont="1"/>
    <xf numFmtId="44" fontId="1" fillId="0" borderId="0" xfId="0" applyNumberFormat="1" applyFont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right" vertical="center" wrapText="1" indent="1"/>
    </xf>
    <xf numFmtId="44" fontId="1" fillId="0" borderId="1" xfId="1" applyFont="1" applyBorder="1" applyAlignment="1">
      <alignment horizontal="left" vertical="center" wrapText="1" indent="1"/>
    </xf>
    <xf numFmtId="44" fontId="1" fillId="0" borderId="1" xfId="1" applyFont="1" applyBorder="1" applyAlignment="1">
      <alignment horizontal="right" vertical="center" wrapText="1" indent="1"/>
    </xf>
    <xf numFmtId="49" fontId="1" fillId="0" borderId="1" xfId="0" applyNumberFormat="1" applyFont="1" applyBorder="1" applyAlignment="1">
      <alignment horizontal="left" vertical="center" wrapText="1" indent="1"/>
    </xf>
    <xf numFmtId="44" fontId="3" fillId="0" borderId="1" xfId="1" applyFont="1" applyBorder="1" applyAlignment="1">
      <alignment horizontal="right" vertical="center" wrapText="1" indent="1"/>
    </xf>
    <xf numFmtId="44" fontId="1" fillId="2" borderId="1" xfId="1" applyFont="1" applyFill="1" applyBorder="1" applyAlignment="1">
      <alignment horizontal="left" vertical="center" wrapText="1" indent="1"/>
    </xf>
    <xf numFmtId="44" fontId="4" fillId="0" borderId="1" xfId="1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1" xfId="0" applyFont="1" applyBorder="1" applyAlignment="1">
      <alignment horizontal="left" vertical="center" wrapText="1" indent="1"/>
    </xf>
    <xf numFmtId="43" fontId="5" fillId="0" borderId="1" xfId="3" applyFont="1" applyBorder="1" applyAlignment="1">
      <alignment horizontal="left" vertical="center" wrapText="1" indent="1"/>
    </xf>
    <xf numFmtId="44" fontId="5" fillId="0" borderId="1" xfId="1" applyFont="1" applyBorder="1" applyAlignment="1">
      <alignment horizontal="right" vertical="center" wrapText="1" indent="1"/>
    </xf>
    <xf numFmtId="44" fontId="1" fillId="0" borderId="0" xfId="1" applyFont="1"/>
    <xf numFmtId="49" fontId="1" fillId="0" borderId="0" xfId="0" applyNumberFormat="1" applyFont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44" fontId="3" fillId="0" borderId="0" xfId="0" applyNumberFormat="1" applyFont="1"/>
    <xf numFmtId="0" fontId="3" fillId="0" borderId="0" xfId="0" applyFont="1" applyAlignment="1">
      <alignment horizontal="right"/>
    </xf>
    <xf numFmtId="44" fontId="1" fillId="2" borderId="1" xfId="1" applyFont="1" applyFill="1" applyBorder="1"/>
    <xf numFmtId="2" fontId="3" fillId="0" borderId="0" xfId="0" applyNumberFormat="1" applyFont="1" applyAlignment="1">
      <alignment horizontal="right" vertical="center"/>
    </xf>
    <xf numFmtId="9" fontId="3" fillId="0" borderId="0" xfId="2" applyFont="1"/>
    <xf numFmtId="44" fontId="3" fillId="0" borderId="0" xfId="1" applyFont="1" applyAlignment="1">
      <alignment horizontal="center"/>
    </xf>
    <xf numFmtId="0" fontId="1" fillId="0" borderId="1" xfId="0" applyFont="1" applyBorder="1" applyAlignment="1">
      <alignment vertical="center" wrapText="1"/>
    </xf>
    <xf numFmtId="44" fontId="1" fillId="2" borderId="1" xfId="1" applyFont="1" applyFill="1" applyBorder="1" applyAlignment="1">
      <alignment vertical="center"/>
    </xf>
    <xf numFmtId="44" fontId="3" fillId="0" borderId="0" xfId="1" applyFont="1"/>
    <xf numFmtId="44" fontId="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 vertical="center" wrapText="1"/>
    </xf>
    <xf numFmtId="164" fontId="1" fillId="2" borderId="5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165" fontId="3" fillId="0" borderId="0" xfId="2" applyNumberFormat="1" applyFont="1"/>
    <xf numFmtId="0" fontId="11" fillId="0" borderId="0" xfId="0" applyFont="1"/>
    <xf numFmtId="0" fontId="12" fillId="0" borderId="0" xfId="0" applyFont="1"/>
    <xf numFmtId="44" fontId="12" fillId="3" borderId="1" xfId="0" applyNumberFormat="1" applyFont="1" applyFill="1" applyBorder="1"/>
    <xf numFmtId="44" fontId="12" fillId="3" borderId="0" xfId="1" applyFont="1" applyFill="1"/>
    <xf numFmtId="44" fontId="12" fillId="3" borderId="1" xfId="1" applyFont="1" applyFill="1" applyBorder="1" applyAlignment="1">
      <alignment horizontal="right" vertical="center" wrapText="1" indent="1"/>
    </xf>
  </cellXfs>
  <cellStyles count="4">
    <cellStyle name="Денежный" xfId="1" builtinId="4"/>
    <cellStyle name="Обычный" xfId="0" builtinId="0"/>
    <cellStyle name="Процентный" xfId="2" builtinId="5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view="pageBreakPreview" zoomScale="110" workbookViewId="0">
      <selection activeCell="C20" sqref="C20"/>
    </sheetView>
  </sheetViews>
  <sheetFormatPr defaultColWidth="22.42578125" defaultRowHeight="15" x14ac:dyDescent="0.25"/>
  <cols>
    <col min="1" max="1" width="6.28515625" style="1" customWidth="1"/>
    <col min="2" max="2" width="43.5703125" style="1" customWidth="1"/>
    <col min="3" max="3" width="14.28515625" style="1" bestFit="1" customWidth="1"/>
    <col min="4" max="4" width="7.85546875" style="2" bestFit="1" customWidth="1"/>
    <col min="5" max="5" width="15.7109375" style="1" customWidth="1"/>
    <col min="6" max="6" width="20.7109375" style="1" customWidth="1"/>
    <col min="7" max="7" width="12.140625" style="1" customWidth="1"/>
    <col min="8" max="8" width="7.85546875" style="2" bestFit="1" customWidth="1"/>
    <col min="9" max="9" width="15.7109375" style="1" customWidth="1"/>
    <col min="10" max="10" width="20.7109375" style="1" customWidth="1"/>
    <col min="11" max="16384" width="22.42578125" style="1"/>
  </cols>
  <sheetData>
    <row r="1" spans="1:11" x14ac:dyDescent="0.25">
      <c r="B1" s="3">
        <f>(30/7*6)*8*8</f>
        <v>1645.7142857142858</v>
      </c>
      <c r="C1" s="4" t="s">
        <v>0</v>
      </c>
    </row>
    <row r="2" spans="1:11" x14ac:dyDescent="0.25">
      <c r="B2" s="5">
        <f>J30/B1</f>
        <v>1921.9344618055554</v>
      </c>
      <c r="C2" s="4" t="s">
        <v>1</v>
      </c>
      <c r="D2" s="6" t="s">
        <v>2</v>
      </c>
      <c r="G2" s="48" t="s">
        <v>75</v>
      </c>
      <c r="K2" s="8">
        <f>B2*164.33</f>
        <v>315831.49010850693</v>
      </c>
    </row>
    <row r="3" spans="1:11" ht="15" customHeight="1" x14ac:dyDescent="0.25">
      <c r="A3" s="9" t="s">
        <v>3</v>
      </c>
      <c r="B3" s="40" t="s">
        <v>4</v>
      </c>
      <c r="C3" s="40" t="s">
        <v>5</v>
      </c>
      <c r="D3" s="44" t="s">
        <v>6</v>
      </c>
      <c r="E3" s="40" t="s">
        <v>7</v>
      </c>
      <c r="F3" s="40" t="s">
        <v>8</v>
      </c>
      <c r="G3" s="40" t="s">
        <v>5</v>
      </c>
      <c r="H3" s="44" t="s">
        <v>6</v>
      </c>
      <c r="I3" s="40" t="s">
        <v>7</v>
      </c>
      <c r="J3" s="40" t="s">
        <v>8</v>
      </c>
    </row>
    <row r="4" spans="1:11" x14ac:dyDescent="0.25">
      <c r="A4" s="9" t="s">
        <v>9</v>
      </c>
      <c r="B4" s="40"/>
      <c r="C4" s="40"/>
      <c r="D4" s="44"/>
      <c r="E4" s="40"/>
      <c r="F4" s="40"/>
      <c r="G4" s="40"/>
      <c r="H4" s="44"/>
      <c r="I4" s="40"/>
      <c r="J4" s="40"/>
    </row>
    <row r="5" spans="1:11" ht="15" customHeight="1" x14ac:dyDescent="0.25">
      <c r="A5" s="12">
        <v>1</v>
      </c>
      <c r="B5" s="13" t="s">
        <v>10</v>
      </c>
      <c r="C5" s="14"/>
      <c r="D5" s="15"/>
      <c r="E5" s="14"/>
      <c r="F5" s="14"/>
      <c r="G5" s="14"/>
      <c r="H5" s="15"/>
      <c r="I5" s="14"/>
      <c r="J5" s="14"/>
    </row>
    <row r="6" spans="1:11" ht="15" hidden="1" customHeight="1" x14ac:dyDescent="0.25">
      <c r="A6" s="9" t="s">
        <v>11</v>
      </c>
      <c r="B6" s="14" t="s">
        <v>12</v>
      </c>
      <c r="C6" s="10" t="s">
        <v>13</v>
      </c>
      <c r="D6" s="11">
        <v>220</v>
      </c>
      <c r="E6" s="16">
        <v>0</v>
      </c>
      <c r="F6" s="17">
        <f t="shared" ref="F6:F14" si="0">D6*E6</f>
        <v>0</v>
      </c>
      <c r="G6" s="10" t="s">
        <v>13</v>
      </c>
      <c r="H6" s="11">
        <v>220</v>
      </c>
      <c r="I6" s="16">
        <v>0</v>
      </c>
      <c r="J6" s="17">
        <f t="shared" ref="J6:J14" si="1">H6*I6</f>
        <v>0</v>
      </c>
    </row>
    <row r="7" spans="1:11" ht="15" hidden="1" customHeight="1" x14ac:dyDescent="0.25">
      <c r="A7" s="9" t="s">
        <v>14</v>
      </c>
      <c r="B7" s="14" t="s">
        <v>15</v>
      </c>
      <c r="C7" s="10" t="s">
        <v>13</v>
      </c>
      <c r="D7" s="11">
        <v>220</v>
      </c>
      <c r="E7" s="16">
        <v>0</v>
      </c>
      <c r="F7" s="17">
        <f t="shared" si="0"/>
        <v>0</v>
      </c>
      <c r="G7" s="10" t="s">
        <v>13</v>
      </c>
      <c r="H7" s="11">
        <v>220</v>
      </c>
      <c r="I7" s="16">
        <v>0</v>
      </c>
      <c r="J7" s="17">
        <f t="shared" si="1"/>
        <v>0</v>
      </c>
    </row>
    <row r="8" spans="1:11" ht="15" hidden="1" customHeight="1" x14ac:dyDescent="0.25">
      <c r="A8" s="9" t="s">
        <v>16</v>
      </c>
      <c r="B8" s="14" t="s">
        <v>17</v>
      </c>
      <c r="C8" s="10" t="s">
        <v>13</v>
      </c>
      <c r="D8" s="11">
        <v>100</v>
      </c>
      <c r="E8" s="16">
        <v>0</v>
      </c>
      <c r="F8" s="17">
        <f t="shared" si="0"/>
        <v>0</v>
      </c>
      <c r="G8" s="10" t="s">
        <v>13</v>
      </c>
      <c r="H8" s="11">
        <v>100</v>
      </c>
      <c r="I8" s="16">
        <v>0</v>
      </c>
      <c r="J8" s="17">
        <f t="shared" si="1"/>
        <v>0</v>
      </c>
    </row>
    <row r="9" spans="1:11" ht="15" hidden="1" customHeight="1" x14ac:dyDescent="0.25">
      <c r="A9" s="9" t="s">
        <v>18</v>
      </c>
      <c r="B9" s="14" t="s">
        <v>19</v>
      </c>
      <c r="C9" s="10" t="s">
        <v>13</v>
      </c>
      <c r="D9" s="11">
        <v>50</v>
      </c>
      <c r="E9" s="16">
        <v>0</v>
      </c>
      <c r="F9" s="17">
        <f t="shared" si="0"/>
        <v>0</v>
      </c>
      <c r="G9" s="10" t="s">
        <v>13</v>
      </c>
      <c r="H9" s="11">
        <v>50</v>
      </c>
      <c r="I9" s="16">
        <v>0</v>
      </c>
      <c r="J9" s="17">
        <f t="shared" si="1"/>
        <v>0</v>
      </c>
    </row>
    <row r="10" spans="1:11" ht="15" hidden="1" customHeight="1" x14ac:dyDescent="0.25">
      <c r="A10" s="9" t="s">
        <v>20</v>
      </c>
      <c r="B10" s="14" t="s">
        <v>21</v>
      </c>
      <c r="C10" s="10" t="s">
        <v>13</v>
      </c>
      <c r="D10" s="11">
        <v>2.4</v>
      </c>
      <c r="E10" s="16">
        <v>0</v>
      </c>
      <c r="F10" s="17">
        <f t="shared" si="0"/>
        <v>0</v>
      </c>
      <c r="G10" s="10" t="s">
        <v>13</v>
      </c>
      <c r="H10" s="11">
        <v>2.4</v>
      </c>
      <c r="I10" s="16">
        <v>0</v>
      </c>
      <c r="J10" s="17">
        <f t="shared" si="1"/>
        <v>0</v>
      </c>
    </row>
    <row r="11" spans="1:11" ht="15" hidden="1" customHeight="1" x14ac:dyDescent="0.25">
      <c r="A11" s="9" t="s">
        <v>22</v>
      </c>
      <c r="B11" s="14" t="s">
        <v>23</v>
      </c>
      <c r="C11" s="10" t="s">
        <v>24</v>
      </c>
      <c r="D11" s="11">
        <v>78</v>
      </c>
      <c r="E11" s="16">
        <v>0</v>
      </c>
      <c r="F11" s="17">
        <f t="shared" si="0"/>
        <v>0</v>
      </c>
      <c r="G11" s="10" t="s">
        <v>24</v>
      </c>
      <c r="H11" s="11">
        <v>78</v>
      </c>
      <c r="I11" s="16">
        <v>0</v>
      </c>
      <c r="J11" s="17">
        <f t="shared" si="1"/>
        <v>0</v>
      </c>
    </row>
    <row r="12" spans="1:11" ht="15" hidden="1" customHeight="1" x14ac:dyDescent="0.25">
      <c r="A12" s="9" t="s">
        <v>25</v>
      </c>
      <c r="B12" s="14" t="s">
        <v>26</v>
      </c>
      <c r="C12" s="10" t="s">
        <v>27</v>
      </c>
      <c r="D12" s="11">
        <v>12</v>
      </c>
      <c r="E12" s="16">
        <v>0</v>
      </c>
      <c r="F12" s="17">
        <f t="shared" si="0"/>
        <v>0</v>
      </c>
      <c r="G12" s="10" t="s">
        <v>27</v>
      </c>
      <c r="H12" s="11">
        <v>12</v>
      </c>
      <c r="I12" s="16">
        <v>0</v>
      </c>
      <c r="J12" s="17">
        <f t="shared" si="1"/>
        <v>0</v>
      </c>
    </row>
    <row r="13" spans="1:11" ht="15" hidden="1" customHeight="1" x14ac:dyDescent="0.25">
      <c r="A13" s="9" t="s">
        <v>28</v>
      </c>
      <c r="B13" s="14" t="s">
        <v>29</v>
      </c>
      <c r="C13" s="10" t="s">
        <v>30</v>
      </c>
      <c r="D13" s="11">
        <v>1</v>
      </c>
      <c r="E13" s="16">
        <v>0</v>
      </c>
      <c r="F13" s="17">
        <f t="shared" si="0"/>
        <v>0</v>
      </c>
      <c r="G13" s="10" t="s">
        <v>30</v>
      </c>
      <c r="H13" s="11">
        <v>1</v>
      </c>
      <c r="I13" s="16">
        <v>0</v>
      </c>
      <c r="J13" s="17">
        <f t="shared" si="1"/>
        <v>0</v>
      </c>
    </row>
    <row r="14" spans="1:11" ht="15" hidden="1" customHeight="1" x14ac:dyDescent="0.25">
      <c r="A14" s="9" t="s">
        <v>31</v>
      </c>
      <c r="B14" s="14" t="s">
        <v>32</v>
      </c>
      <c r="C14" s="10" t="s">
        <v>30</v>
      </c>
      <c r="D14" s="11">
        <v>1</v>
      </c>
      <c r="E14" s="16">
        <v>0</v>
      </c>
      <c r="F14" s="17">
        <f t="shared" si="0"/>
        <v>0</v>
      </c>
      <c r="G14" s="10" t="s">
        <v>30</v>
      </c>
      <c r="H14" s="11">
        <v>1</v>
      </c>
      <c r="I14" s="16">
        <v>0</v>
      </c>
      <c r="J14" s="17">
        <f t="shared" si="1"/>
        <v>0</v>
      </c>
    </row>
    <row r="15" spans="1:11" ht="15" hidden="1" customHeight="1" x14ac:dyDescent="0.25">
      <c r="A15" s="18"/>
      <c r="B15" s="13" t="s">
        <v>33</v>
      </c>
      <c r="C15" s="10"/>
      <c r="D15" s="11"/>
      <c r="E15" s="16"/>
      <c r="F15" s="19">
        <f>SUM(F6:F14)</f>
        <v>0</v>
      </c>
      <c r="G15" s="10"/>
      <c r="H15" s="11"/>
      <c r="I15" s="16"/>
      <c r="J15" s="19">
        <f>SUM(J6:J14)</f>
        <v>0</v>
      </c>
    </row>
    <row r="16" spans="1:11" ht="15" customHeight="1" x14ac:dyDescent="0.25">
      <c r="A16" s="12">
        <v>2</v>
      </c>
      <c r="B16" s="13" t="s">
        <v>34</v>
      </c>
      <c r="C16" s="10"/>
      <c r="D16" s="11"/>
      <c r="E16" s="16"/>
      <c r="F16" s="17"/>
      <c r="G16" s="10"/>
      <c r="H16" s="11"/>
      <c r="I16" s="16"/>
      <c r="J16" s="17"/>
    </row>
    <row r="17" spans="1:11" ht="15" customHeight="1" x14ac:dyDescent="0.25">
      <c r="A17" s="9" t="s">
        <v>35</v>
      </c>
      <c r="B17" s="14" t="s">
        <v>36</v>
      </c>
      <c r="C17" s="10" t="s">
        <v>13</v>
      </c>
      <c r="D17" s="11">
        <f>299+126</f>
        <v>425</v>
      </c>
      <c r="E17" s="45">
        <v>1500</v>
      </c>
      <c r="F17" s="17">
        <f t="shared" ref="F17:F27" si="2">D17*E17</f>
        <v>637500</v>
      </c>
      <c r="G17" s="10" t="s">
        <v>13</v>
      </c>
      <c r="H17" s="11">
        <v>530.20000000000005</v>
      </c>
      <c r="I17" s="45">
        <v>1500</v>
      </c>
      <c r="J17" s="17">
        <f t="shared" ref="J17:J27" si="3">H17*I17</f>
        <v>795300.00000000012</v>
      </c>
    </row>
    <row r="18" spans="1:11" ht="15" customHeight="1" x14ac:dyDescent="0.25">
      <c r="A18" s="9" t="s">
        <v>37</v>
      </c>
      <c r="B18" s="14" t="s">
        <v>38</v>
      </c>
      <c r="C18" s="10" t="s">
        <v>13</v>
      </c>
      <c r="D18" s="11">
        <v>102.3</v>
      </c>
      <c r="E18" s="45">
        <v>1800</v>
      </c>
      <c r="F18" s="17">
        <f t="shared" si="2"/>
        <v>184140</v>
      </c>
      <c r="G18" s="10" t="s">
        <v>13</v>
      </c>
      <c r="H18" s="11"/>
      <c r="I18" s="45">
        <v>1800</v>
      </c>
      <c r="J18" s="17">
        <f t="shared" si="3"/>
        <v>0</v>
      </c>
    </row>
    <row r="19" spans="1:11" ht="15" customHeight="1" x14ac:dyDescent="0.25">
      <c r="A19" s="9" t="s">
        <v>39</v>
      </c>
      <c r="B19" s="14" t="s">
        <v>40</v>
      </c>
      <c r="C19" s="10" t="s">
        <v>13</v>
      </c>
      <c r="D19" s="11">
        <v>65.5</v>
      </c>
      <c r="E19" s="45">
        <v>1800</v>
      </c>
      <c r="F19" s="17">
        <f t="shared" si="2"/>
        <v>117900</v>
      </c>
      <c r="G19" s="10" t="s">
        <v>13</v>
      </c>
      <c r="H19" s="11"/>
      <c r="I19" s="45">
        <v>1800</v>
      </c>
      <c r="J19" s="17">
        <f t="shared" si="3"/>
        <v>0</v>
      </c>
    </row>
    <row r="20" spans="1:11" ht="15" customHeight="1" x14ac:dyDescent="0.25">
      <c r="A20" s="9" t="s">
        <v>41</v>
      </c>
      <c r="B20" s="14" t="s">
        <v>42</v>
      </c>
      <c r="C20" s="10" t="s">
        <v>13</v>
      </c>
      <c r="D20" s="11">
        <v>52</v>
      </c>
      <c r="E20" s="45">
        <v>1000</v>
      </c>
      <c r="F20" s="17">
        <f t="shared" si="2"/>
        <v>52000</v>
      </c>
      <c r="G20" s="10" t="s">
        <v>13</v>
      </c>
      <c r="H20" s="11">
        <v>79.8</v>
      </c>
      <c r="I20" s="45">
        <v>1000</v>
      </c>
      <c r="J20" s="17">
        <f t="shared" si="3"/>
        <v>79800</v>
      </c>
    </row>
    <row r="21" spans="1:11" ht="15" customHeight="1" x14ac:dyDescent="0.25">
      <c r="A21" s="9" t="s">
        <v>43</v>
      </c>
      <c r="B21" s="14" t="s">
        <v>44</v>
      </c>
      <c r="C21" s="10" t="s">
        <v>45</v>
      </c>
      <c r="D21" s="11">
        <v>38.4</v>
      </c>
      <c r="E21" s="45">
        <v>1500</v>
      </c>
      <c r="F21" s="17">
        <f t="shared" si="2"/>
        <v>57600</v>
      </c>
      <c r="G21" s="10" t="s">
        <v>45</v>
      </c>
      <c r="H21" s="11">
        <v>33</v>
      </c>
      <c r="I21" s="45">
        <v>1500</v>
      </c>
      <c r="J21" s="17">
        <f t="shared" si="3"/>
        <v>49500</v>
      </c>
    </row>
    <row r="22" spans="1:11" ht="15" customHeight="1" x14ac:dyDescent="0.25">
      <c r="A22" s="9" t="s">
        <v>46</v>
      </c>
      <c r="B22" s="14" t="s">
        <v>47</v>
      </c>
      <c r="C22" s="10" t="s">
        <v>45</v>
      </c>
      <c r="D22" s="11">
        <v>51</v>
      </c>
      <c r="E22" s="45">
        <v>2000</v>
      </c>
      <c r="F22" s="17">
        <f t="shared" si="2"/>
        <v>102000</v>
      </c>
      <c r="G22" s="10" t="s">
        <v>45</v>
      </c>
      <c r="H22" s="11">
        <v>71.400000000000006</v>
      </c>
      <c r="I22" s="45">
        <v>2000</v>
      </c>
      <c r="J22" s="17">
        <f t="shared" si="3"/>
        <v>142800</v>
      </c>
    </row>
    <row r="23" spans="1:11" ht="15" customHeight="1" x14ac:dyDescent="0.25">
      <c r="A23" s="9" t="s">
        <v>48</v>
      </c>
      <c r="B23" s="14" t="s">
        <v>49</v>
      </c>
      <c r="C23" s="10" t="s">
        <v>45</v>
      </c>
      <c r="D23" s="11">
        <v>38.409999999999997</v>
      </c>
      <c r="E23" s="45">
        <v>1500</v>
      </c>
      <c r="F23" s="17">
        <f t="shared" si="2"/>
        <v>57614.999999999993</v>
      </c>
      <c r="G23" s="10" t="s">
        <v>45</v>
      </c>
      <c r="H23" s="11">
        <v>33</v>
      </c>
      <c r="I23" s="45">
        <v>1500</v>
      </c>
      <c r="J23" s="17">
        <f t="shared" si="3"/>
        <v>49500</v>
      </c>
    </row>
    <row r="24" spans="1:11" ht="15" customHeight="1" x14ac:dyDescent="0.25">
      <c r="A24" s="9" t="s">
        <v>50</v>
      </c>
      <c r="B24" s="14" t="s">
        <v>51</v>
      </c>
      <c r="C24" s="10" t="s">
        <v>45</v>
      </c>
      <c r="D24" s="11">
        <v>12</v>
      </c>
      <c r="E24" s="45">
        <v>1500</v>
      </c>
      <c r="F24" s="17">
        <f t="shared" si="2"/>
        <v>18000</v>
      </c>
      <c r="G24" s="10" t="s">
        <v>45</v>
      </c>
      <c r="H24" s="11">
        <v>135</v>
      </c>
      <c r="I24" s="45">
        <v>1500</v>
      </c>
      <c r="J24" s="17">
        <f t="shared" si="3"/>
        <v>202500</v>
      </c>
    </row>
    <row r="25" spans="1:11" ht="15" customHeight="1" x14ac:dyDescent="0.25">
      <c r="A25" s="9" t="s">
        <v>52</v>
      </c>
      <c r="B25" s="14" t="s">
        <v>53</v>
      </c>
      <c r="C25" s="10" t="s">
        <v>45</v>
      </c>
      <c r="D25" s="11">
        <v>340</v>
      </c>
      <c r="E25" s="45">
        <v>800</v>
      </c>
      <c r="F25" s="17">
        <f t="shared" si="2"/>
        <v>272000</v>
      </c>
      <c r="G25" s="10" t="s">
        <v>45</v>
      </c>
      <c r="H25" s="11">
        <v>431</v>
      </c>
      <c r="I25" s="45">
        <v>800</v>
      </c>
      <c r="J25" s="17">
        <f t="shared" si="3"/>
        <v>344800</v>
      </c>
    </row>
    <row r="26" spans="1:11" x14ac:dyDescent="0.25">
      <c r="A26" s="9" t="s">
        <v>54</v>
      </c>
      <c r="B26" s="14"/>
      <c r="C26" s="10"/>
      <c r="D26" s="11"/>
      <c r="E26" s="20"/>
      <c r="F26" s="17">
        <f t="shared" si="2"/>
        <v>0</v>
      </c>
      <c r="G26" s="10"/>
      <c r="H26" s="11"/>
      <c r="I26" s="20"/>
      <c r="J26" s="17">
        <f t="shared" si="3"/>
        <v>0</v>
      </c>
      <c r="K26" s="8"/>
    </row>
    <row r="27" spans="1:11" x14ac:dyDescent="0.25">
      <c r="A27" s="9" t="s">
        <v>55</v>
      </c>
      <c r="B27" s="14"/>
      <c r="C27" s="10"/>
      <c r="D27" s="11"/>
      <c r="E27" s="20"/>
      <c r="F27" s="17">
        <f t="shared" si="2"/>
        <v>0</v>
      </c>
      <c r="G27" s="10"/>
      <c r="H27" s="11"/>
      <c r="I27" s="20"/>
      <c r="J27" s="17">
        <f t="shared" si="3"/>
        <v>0</v>
      </c>
    </row>
    <row r="28" spans="1:11" ht="15" customHeight="1" x14ac:dyDescent="0.25">
      <c r="A28" s="18"/>
      <c r="B28" s="13" t="s">
        <v>56</v>
      </c>
      <c r="C28" s="10"/>
      <c r="D28" s="11"/>
      <c r="E28" s="21" t="s">
        <v>57</v>
      </c>
      <c r="F28" s="19">
        <f>SUM(F16:F27)</f>
        <v>1498755</v>
      </c>
      <c r="G28" s="10"/>
      <c r="H28" s="11"/>
      <c r="I28" s="21" t="s">
        <v>57</v>
      </c>
      <c r="J28" s="19">
        <f>SUM(J17:J27)</f>
        <v>1664200</v>
      </c>
      <c r="K28" s="8"/>
    </row>
    <row r="29" spans="1:11" ht="15" customHeight="1" x14ac:dyDescent="0.25">
      <c r="A29" s="22"/>
      <c r="B29" s="23" t="s">
        <v>58</v>
      </c>
      <c r="C29" s="10"/>
      <c r="D29" s="11"/>
      <c r="E29" s="24">
        <v>1</v>
      </c>
      <c r="F29" s="25">
        <f>F28*E29</f>
        <v>1498755</v>
      </c>
      <c r="G29" s="10"/>
      <c r="H29" s="11"/>
      <c r="I29" s="24">
        <v>1</v>
      </c>
      <c r="J29" s="25">
        <f>J28*I29</f>
        <v>1664200</v>
      </c>
    </row>
    <row r="30" spans="1:11" ht="15" customHeight="1" x14ac:dyDescent="0.25">
      <c r="A30" s="22"/>
      <c r="B30" s="41" t="s">
        <v>59</v>
      </c>
      <c r="C30" s="42"/>
      <c r="D30" s="42"/>
      <c r="E30" s="42"/>
      <c r="F30" s="42"/>
      <c r="G30" s="42"/>
      <c r="H30" s="42"/>
      <c r="I30" s="43"/>
      <c r="J30" s="50">
        <f>F29+J29</f>
        <v>3162955</v>
      </c>
      <c r="K30" s="26"/>
    </row>
    <row r="31" spans="1:11" ht="15" customHeight="1" x14ac:dyDescent="0.25">
      <c r="A31" s="12">
        <v>3</v>
      </c>
      <c r="B31" s="13" t="s">
        <v>72</v>
      </c>
      <c r="C31" s="10"/>
      <c r="D31" s="11"/>
      <c r="E31" s="16"/>
      <c r="F31" s="17">
        <f>F29*0.05</f>
        <v>74937.75</v>
      </c>
      <c r="G31" s="10"/>
      <c r="H31" s="11"/>
      <c r="I31" s="16"/>
      <c r="J31" s="17">
        <f>J29*0.05</f>
        <v>83210</v>
      </c>
      <c r="K31" s="26"/>
    </row>
    <row r="32" spans="1:11" ht="15" customHeight="1" x14ac:dyDescent="0.25">
      <c r="A32" s="9" t="s">
        <v>60</v>
      </c>
      <c r="B32" s="14" t="s">
        <v>61</v>
      </c>
      <c r="C32" s="10"/>
      <c r="D32" s="11"/>
      <c r="E32" s="16"/>
      <c r="F32" s="17"/>
      <c r="G32" s="10"/>
      <c r="H32" s="11"/>
      <c r="I32" s="16"/>
      <c r="J32" s="17">
        <f>C38</f>
        <v>168000</v>
      </c>
      <c r="K32" s="26"/>
    </row>
    <row r="33" spans="1:11" ht="15" customHeight="1" x14ac:dyDescent="0.25">
      <c r="A33" s="9" t="s">
        <v>62</v>
      </c>
      <c r="B33" s="14" t="s">
        <v>63</v>
      </c>
      <c r="C33" s="10"/>
      <c r="D33" s="11"/>
      <c r="E33" s="16"/>
      <c r="F33" s="19"/>
      <c r="H33" s="10"/>
      <c r="I33" s="16"/>
      <c r="J33" s="17">
        <f t="shared" ref="J32:J33" si="4">C39</f>
        <v>42000</v>
      </c>
      <c r="K33" s="8"/>
    </row>
    <row r="34" spans="1:11" ht="15" customHeight="1" x14ac:dyDescent="0.25">
      <c r="A34" s="12"/>
      <c r="B34" s="41" t="s">
        <v>64</v>
      </c>
      <c r="C34" s="42"/>
      <c r="D34" s="42"/>
      <c r="E34" s="42"/>
      <c r="F34" s="42"/>
      <c r="G34" s="42"/>
      <c r="H34" s="42"/>
      <c r="I34" s="43"/>
      <c r="J34" s="19">
        <f>F31+J31+J32+J33</f>
        <v>368147.75</v>
      </c>
      <c r="K34" s="26"/>
    </row>
    <row r="35" spans="1:11" ht="15" customHeight="1" x14ac:dyDescent="0.25">
      <c r="A35" s="18"/>
      <c r="B35" s="41" t="s">
        <v>65</v>
      </c>
      <c r="C35" s="42"/>
      <c r="D35" s="42"/>
      <c r="E35" s="42"/>
      <c r="F35" s="42"/>
      <c r="G35" s="42"/>
      <c r="H35" s="42"/>
      <c r="I35" s="43"/>
      <c r="J35" s="52">
        <f>J30+J34</f>
        <v>3531102.75</v>
      </c>
      <c r="K35" s="26"/>
    </row>
    <row r="36" spans="1:11" x14ac:dyDescent="0.25">
      <c r="A36" s="27"/>
      <c r="K36" s="26"/>
    </row>
    <row r="37" spans="1:11" ht="14.25" customHeight="1" x14ac:dyDescent="0.25">
      <c r="A37" s="27"/>
      <c r="B37" s="28" t="s">
        <v>66</v>
      </c>
      <c r="C37" s="29">
        <v>30</v>
      </c>
      <c r="F37" s="30"/>
      <c r="G37" s="7"/>
      <c r="H37" s="31" t="s">
        <v>67</v>
      </c>
      <c r="I37" s="47">
        <v>0.125</v>
      </c>
      <c r="J37" s="30">
        <f>J35*I37</f>
        <v>441387.84375</v>
      </c>
      <c r="K37" s="26"/>
    </row>
    <row r="38" spans="1:11" x14ac:dyDescent="0.25">
      <c r="A38" s="27"/>
      <c r="B38" s="22" t="s">
        <v>68</v>
      </c>
      <c r="C38" s="32">
        <f>700*C37*8</f>
        <v>168000</v>
      </c>
      <c r="F38" s="7"/>
      <c r="G38" s="7"/>
      <c r="H38" s="33" t="s">
        <v>69</v>
      </c>
      <c r="I38" s="34">
        <v>0.2</v>
      </c>
      <c r="J38" s="35">
        <f>(J35+J37)*I38</f>
        <v>794498.11875000002</v>
      </c>
    </row>
    <row r="39" spans="1:11" ht="14.25" customHeight="1" x14ac:dyDescent="0.25">
      <c r="B39" s="36" t="s">
        <v>70</v>
      </c>
      <c r="C39" s="37">
        <f>35*1200</f>
        <v>42000</v>
      </c>
      <c r="F39" s="38"/>
      <c r="G39" s="7"/>
      <c r="H39" s="33"/>
      <c r="I39" s="7"/>
      <c r="J39" s="39"/>
    </row>
    <row r="40" spans="1:11" x14ac:dyDescent="0.25">
      <c r="F40" s="38"/>
      <c r="G40" s="7"/>
      <c r="H40" s="33"/>
      <c r="I40" s="46" t="s">
        <v>73</v>
      </c>
      <c r="J40" s="38">
        <f>J35+J37+J38</f>
        <v>4766988.7125000004</v>
      </c>
    </row>
    <row r="41" spans="1:11" x14ac:dyDescent="0.25">
      <c r="D41" s="1"/>
      <c r="F41" s="26"/>
      <c r="J41" s="26"/>
    </row>
    <row r="42" spans="1:11" ht="15.75" x14ac:dyDescent="0.25">
      <c r="F42" s="26"/>
      <c r="I42" s="31" t="s">
        <v>71</v>
      </c>
      <c r="J42" s="51">
        <v>3400000</v>
      </c>
    </row>
    <row r="43" spans="1:11" ht="15.75" x14ac:dyDescent="0.25">
      <c r="B43" s="49" t="s">
        <v>74</v>
      </c>
      <c r="F43" s="26"/>
      <c r="J43" s="26"/>
    </row>
    <row r="44" spans="1:11" x14ac:dyDescent="0.25">
      <c r="F44" s="26"/>
      <c r="J44" s="26"/>
    </row>
    <row r="45" spans="1:11" x14ac:dyDescent="0.25">
      <c r="F45" s="26"/>
      <c r="J45" s="26"/>
    </row>
    <row r="46" spans="1:11" x14ac:dyDescent="0.25">
      <c r="F46" s="26"/>
      <c r="J46" s="26"/>
    </row>
    <row r="47" spans="1:11" x14ac:dyDescent="0.25">
      <c r="F47" s="26"/>
      <c r="J47" s="26"/>
    </row>
    <row r="48" spans="1:11" x14ac:dyDescent="0.25">
      <c r="B48" s="8"/>
      <c r="F48" s="26"/>
      <c r="J48" s="26"/>
    </row>
    <row r="49" spans="2:10" x14ac:dyDescent="0.25">
      <c r="F49" s="26"/>
      <c r="J49" s="26"/>
    </row>
    <row r="50" spans="2:10" x14ac:dyDescent="0.25">
      <c r="F50" s="26"/>
      <c r="J50" s="26"/>
    </row>
    <row r="51" spans="2:10" x14ac:dyDescent="0.25">
      <c r="F51" s="26"/>
      <c r="J51" s="26"/>
    </row>
    <row r="52" spans="2:10" x14ac:dyDescent="0.25">
      <c r="F52" s="26"/>
      <c r="J52" s="26"/>
    </row>
    <row r="53" spans="2:10" x14ac:dyDescent="0.25">
      <c r="B53" s="8"/>
      <c r="F53" s="26"/>
      <c r="J53" s="26"/>
    </row>
    <row r="54" spans="2:10" x14ac:dyDescent="0.25">
      <c r="F54" s="26"/>
      <c r="J54" s="26"/>
    </row>
    <row r="55" spans="2:10" x14ac:dyDescent="0.25">
      <c r="F55" s="26"/>
      <c r="J55" s="26"/>
    </row>
    <row r="56" spans="2:10" x14ac:dyDescent="0.25">
      <c r="B56" s="26"/>
      <c r="F56" s="26"/>
      <c r="J56" s="26"/>
    </row>
    <row r="57" spans="2:10" x14ac:dyDescent="0.25">
      <c r="F57" s="26"/>
      <c r="J57" s="26"/>
    </row>
    <row r="58" spans="2:10" x14ac:dyDescent="0.25">
      <c r="B58" s="26"/>
      <c r="F58" s="26"/>
      <c r="J58" s="26"/>
    </row>
    <row r="59" spans="2:10" x14ac:dyDescent="0.25">
      <c r="F59" s="26"/>
      <c r="J59" s="26"/>
    </row>
    <row r="60" spans="2:10" x14ac:dyDescent="0.25">
      <c r="F60" s="26"/>
      <c r="J60" s="26"/>
    </row>
  </sheetData>
  <mergeCells count="12">
    <mergeCell ref="B34:I34"/>
    <mergeCell ref="B35:I35"/>
    <mergeCell ref="G3:G4"/>
    <mergeCell ref="H3:H4"/>
    <mergeCell ref="I3:I4"/>
    <mergeCell ref="J3:J4"/>
    <mergeCell ref="B30:I30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Промышленный альпинизм</vt:lpstr>
      <vt:lpstr>'Промышленный альпинизм'!Область_печати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cp:revision>2</cp:revision>
  <dcterms:created xsi:type="dcterms:W3CDTF">2026-03-04T14:04:59Z</dcterms:created>
  <dcterms:modified xsi:type="dcterms:W3CDTF">2026-04-08T09:04:55Z</dcterms:modified>
</cp:coreProperties>
</file>